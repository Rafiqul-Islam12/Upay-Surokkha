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Assumptions" sheetId="2" state="visible" r:id="rId4"/>
    <sheet name="ScamShield_Model" sheetId="3" state="visible" r:id="rId5"/>
    <sheet name="Sensitivity" sheetId="4" state="visible" r:id="rId6"/>
    <sheet name="AgentCopilot_KPIs" sheetId="5" state="visible" r:id="rId7"/>
    <sheet name="CostAdvisor_ABPilot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<sst xmlns="http://schemas.openxmlformats.org/spreadsheetml/2006/main" count="670" uniqueCount="473">
  <si>
    <t xml:space="preserve">upay Surokkha+ : Step 8 impact model</t>
  </si>
  <si>
    <t xml:space="preserve">Purpose</t>
  </si>
  <si>
    <t xml:space="preserve">Estimates the monthly money impact and payback of ScamShield; defines KPIs for Agent Copilot; designs an A/B pilot for Cost Advisor.</t>
  </si>
  <si>
    <t xml:space="preserve">WARNING</t>
  </si>
  <si>
    <t xml:space="preserve">NO number here is real upay data. Inputs are ASSUMPTIONS (invented placeholders), CONVENTIONS (statistical defaults) or MEASURED_ON_SYNTHETIC (our own Step 2/3 results on synthetic data).</t>
  </si>
  <si>
    <t xml:space="preserve">Blue text, yellow fill</t>
  </si>
  <si>
    <t xml:space="preserve">Editable input. Change only these cells (sheets Assumptions, CostAdvisor_ABPilot, AgentCopilot_KPIs, and the axis cells in Sensitivity).</t>
  </si>
  <si>
    <t xml:space="preserve">Black text</t>
  </si>
  <si>
    <t xml:space="preserve">Formula. Do not overwrite.</t>
  </si>
  <si>
    <t xml:space="preserve">Green text</t>
  </si>
  <si>
    <t xml:space="preserve">Link to another sheet.</t>
  </si>
  <si>
    <t xml:space="preserve">Scenarios</t>
  </si>
  <si>
    <t xml:space="preserve">Bad / Medium / Good. Bad = pessimistic for benefit (low scam rate, low recall, high false-alarm rate, high costs). Good = optimistic.</t>
  </si>
  <si>
    <t xml:space="preserve">Core formula</t>
  </si>
  <si>
    <t xml:space="preserve">Prevented loss = monthly transactions x scam rate x average loss x recall x intervention success. Row 'Literal formula' on ScamShield_Model shows it without the intervention factor (set intervention success to 100% to match it).</t>
  </si>
  <si>
    <t xml:space="preserve">Net benefit</t>
  </si>
  <si>
    <t xml:space="preserve">Prevented loss - false-alarm cost - analyst time cost - customer-friction cost - monthly run cost.</t>
  </si>
  <si>
    <t xml:space="preserve">Payback / ROI</t>
  </si>
  <si>
    <t xml:space="preserve">Payback = one-time cost / monthly net benefit (only if net &gt; 0). ROI = (net x horizon - one-time cost) / one-time cost.</t>
  </si>
  <si>
    <t xml:space="preserve">Sheets</t>
  </si>
  <si>
    <t xml:space="preserve">Assumptions | ScamShield_Model | Sensitivity | AgentCopilot_KPIs | CostAdvisor_ABPilot | Sources</t>
  </si>
  <si>
    <t xml:space="preserve">Rebuild</t>
  </si>
  <si>
    <t xml:space="preserve">python src/impact_model.py   (rewrites this workbook and the CSV files from config/impact_assumptions.json)</t>
  </si>
  <si>
    <t xml:space="preserve">Currency</t>
  </si>
  <si>
    <t xml:space="preserve">BDT (Bangladeshi taka). Fractions are stored as fractions (0.02 = 2%).</t>
  </si>
  <si>
    <t xml:space="preserve">Colour legend</t>
  </si>
  <si>
    <t xml:space="preserve">Example input cell</t>
  </si>
  <si>
    <t xml:space="preserve">Example formula cell</t>
  </si>
  <si>
    <t xml:space="preserve">Example cross-sheet link</t>
  </si>
  <si>
    <t xml:space="preserve">Assumptions (edit the blue cells)</t>
  </si>
  <si>
    <t xml:space="preserve">Status column: ASSUMPTION = invented placeholder; MEASURED_ON_SYNTHETIC = our own result on synthetic data, not real-world. Sources column = public sources to cite when you replace the placeholder with a real figure.</t>
  </si>
  <si>
    <t xml:space="preserve">ID</t>
  </si>
  <si>
    <t xml:space="preserve">Group</t>
  </si>
  <si>
    <t xml:space="preserve">Assumption</t>
  </si>
  <si>
    <t xml:space="preserve">Unit</t>
  </si>
  <si>
    <t xml:space="preserve">Bad</t>
  </si>
  <si>
    <t xml:space="preserve">Medium</t>
  </si>
  <si>
    <t xml:space="preserve">Good</t>
  </si>
  <si>
    <t xml:space="preserve">Status</t>
  </si>
  <si>
    <t xml:space="preserve">Basis / how it was set</t>
  </si>
  <si>
    <t xml:space="preserve">Public sources to cite (see Sources sheet)</t>
  </si>
  <si>
    <t xml:space="preserve">V1</t>
  </si>
  <si>
    <t xml:space="preserve">Volume</t>
  </si>
  <si>
    <t xml:space="preserve">Monthly transactions scored by ScamShield (in-scope P2P sends)</t>
  </si>
  <si>
    <t xml:space="preserve">transactions / month</t>
  </si>
  <si>
    <t xml:space="preserve">ASSUMPTION</t>
  </si>
  <si>
    <t xml:space="preserve">Placeholder, held equal across scenarios so scenarios isolate model and cost effects. Replace with upay's real monthly P2P send count.</t>
  </si>
  <si>
    <t xml:space="preserve">S1: Bangladesh Bank, Mobile Financial Services (MFS) Statistics: Transaction Statistics; S2: upay / UCB annual report and Bangladesh Bank MFS provider-wise statistics</t>
  </si>
  <si>
    <t xml:space="preserve">R1</t>
  </si>
  <si>
    <t xml:space="preserve">Scam exposure</t>
  </si>
  <si>
    <t xml:space="preserve">Scam rate (share of scored transactions that are loss-causing scams)</t>
  </si>
  <si>
    <t xml:space="preserve">fraction</t>
  </si>
  <si>
    <t xml:space="preserve">NOT the 2.9% of our synthetic data (that is injected by construction). Real rates are far lower; bad = 0.01%, medium = 0.03%, good = 0.06% are placeholders.</t>
  </si>
  <si>
    <t xml:space="preserve">S3: Bangladesh Financial Intelligence Unit (BFIU) annual report; S4: Bangladesh Police / CID cyber-crime statistics and the National Cyber Security Agency; S5: UK Finance, Annual Fraud Report (authorised push payment scams); S6: GSMA, State of the Industry Report on Mobile Money</t>
  </si>
  <si>
    <t xml:space="preserve">R2</t>
  </si>
  <si>
    <t xml:space="preserve">Average loss per scam transaction</t>
  </si>
  <si>
    <t xml:space="preserve">BDT</t>
  </si>
  <si>
    <t xml:space="preserve">Placeholder. Compute the average P2P ticket from Bangladesh Bank MFS tables (value / number) and compare with victim-reported losses.</t>
  </si>
  <si>
    <t xml:space="preserve">S1: Bangladesh Bank, Mobile Financial Services (MFS) Statistics: Transaction Statistics; S3: Bangladesh Financial Intelligence Unit (BFIU) annual report; S4: Bangladesh Police / CID cyber-crime statistics and the National Cyber Security Agency</t>
  </si>
  <si>
    <t xml:space="preserve">R3</t>
  </si>
  <si>
    <t xml:space="preserve">Model performance</t>
  </si>
  <si>
    <t xml:space="preserve">Recall (share of scam transactions flagged)</t>
  </si>
  <si>
    <t xml:space="preserve">MEASURED_ON_SYNTHETIC</t>
  </si>
  <si>
    <t xml:space="preserve">Our own Step 3 numbers on synthetic data: good = Step 2 test split (85.9%), medium = 'Evasion, known scams adapted' (44.7%), bad = 'External validation, all shifts' (18.0%). Real-world recall is unknown.</t>
  </si>
  <si>
    <t xml:space="preserve">S7: This project: results/step2_main_results.csv, results/step3_scenarios.csv, models/metrics.json</t>
  </si>
  <si>
    <t xml:space="preserve">R4</t>
  </si>
  <si>
    <t xml:space="preserve">Intervention success (share of flagged scams where the warning/hold really stops the loss)</t>
  </si>
  <si>
    <t xml:space="preserve">Not measured. Customer may ignore a warning; scammer may re-route. Set it to 100% to get the literal 'volume x rate x loss x recall' formula.</t>
  </si>
  <si>
    <t xml:space="preserve">S8: UK Payment Systems Regulator, APP scams performance data; S5: UK Finance, Annual Fraud Report (authorised push payment scams)</t>
  </si>
  <si>
    <t xml:space="preserve">F1</t>
  </si>
  <si>
    <t xml:space="preserve">False alarms</t>
  </si>
  <si>
    <t xml:space="preserve">False-alarm rate (share of legitimate transactions flagged)</t>
  </si>
  <si>
    <t xml:space="preserve">Own Step 3 numbers: good = Step 2 test split (1.95%), medium = Evasion row (2.24%), bad = External validation (6.77%).</t>
  </si>
  <si>
    <t xml:space="preserve">A1</t>
  </si>
  <si>
    <t xml:space="preserve">Analyst time</t>
  </si>
  <si>
    <t xml:space="preserve">Share of flags reviewed by a human analyst</t>
  </si>
  <si>
    <t xml:space="preserve">Design rule of the prototype (HIGH cases go to an analyst). Lowering it models triage, but then check the intervention success input.</t>
  </si>
  <si>
    <t xml:space="preserve">S9: Your own pilot measurements (time-and-motion study, call-centre tags, cancellation logs, retention)</t>
  </si>
  <si>
    <t xml:space="preserve">A2</t>
  </si>
  <si>
    <t xml:space="preserve">Review time per flagged case</t>
  </si>
  <si>
    <t xml:space="preserve">minutes</t>
  </si>
  <si>
    <t xml:space="preserve">Placeholder. Time a real analyst on 30-50 cases during the pilot.</t>
  </si>
  <si>
    <t xml:space="preserve">A3</t>
  </si>
  <si>
    <t xml:space="preserve">Fully loaded monthly cost of one analyst</t>
  </si>
  <si>
    <t xml:space="preserve">BDT / month</t>
  </si>
  <si>
    <t xml:space="preserve">Placeholder. Use upay HR figure; public check: job-portal salary surveys and BBS wage statistics.</t>
  </si>
  <si>
    <t xml:space="preserve">S10: Bangladesh Bureau of Statistics (BBS) wage and labour statistics; job-portal salary surveys; S11: Bangladesh Bank, Monthly Economic Trends / interest-rate statistics</t>
  </si>
  <si>
    <t xml:space="preserve">A4</t>
  </si>
  <si>
    <t xml:space="preserve">Paid hours per analyst per month</t>
  </si>
  <si>
    <t xml:space="preserve">hours</t>
  </si>
  <si>
    <t xml:space="preserve">22 working days x 8 hours.</t>
  </si>
  <si>
    <t xml:space="preserve">S10: Bangladesh Bureau of Statistics (BBS) wage and labour statistics; job-portal salary surveys</t>
  </si>
  <si>
    <t xml:space="preserve">A5</t>
  </si>
  <si>
    <t xml:space="preserve">Productive share of paid time (utilization)</t>
  </si>
  <si>
    <t xml:space="preserve">Placeholder; breaks, meetings, idle time between cases.</t>
  </si>
  <si>
    <t xml:space="preserve">F2</t>
  </si>
  <si>
    <t xml:space="preserve">False-alarm handling</t>
  </si>
  <si>
    <t xml:space="preserve">Notification cost per flag (SMS / push)</t>
  </si>
  <si>
    <t xml:space="preserve">Placeholder; replace with upay's SMS gateway cost.</t>
  </si>
  <si>
    <t xml:space="preserve">S12: BTRC (telecom regulator) SMS tariff / your SMS gateway invoice</t>
  </si>
  <si>
    <t xml:space="preserve">F3</t>
  </si>
  <si>
    <t xml:space="preserve">Share of false alarms that contact customer support</t>
  </si>
  <si>
    <t xml:space="preserve">Placeholder; measure in the pilot from call-centre tags.</t>
  </si>
  <si>
    <t xml:space="preserve">F4</t>
  </si>
  <si>
    <t xml:space="preserve">Cost of one support contact</t>
  </si>
  <si>
    <t xml:space="preserve">Placeholder; use upay call-centre cost per contact.</t>
  </si>
  <si>
    <t xml:space="preserve">S10: Bangladesh Bureau of Statistics (BBS) wage and labour statistics; job-portal salary surveys; S9: Your own pilot measurements (time-and-motion study, call-centre tags, cancellation logs, retention)</t>
  </si>
  <si>
    <t xml:space="preserve">C1</t>
  </si>
  <si>
    <t xml:space="preserve">Customer friction</t>
  </si>
  <si>
    <t xml:space="preserve">Abandonment rate after a false alarm (customer cancels the transfer)</t>
  </si>
  <si>
    <t xml:space="preserve">Placeholder; measure in the pilot (cancelled / warned legitimate transfers).</t>
  </si>
  <si>
    <t xml:space="preserve">C2</t>
  </si>
  <si>
    <t xml:space="preserve">Revenue lost per abandoned transaction</t>
  </si>
  <si>
    <t xml:space="preserve">Placeholder; use upay's send-money fee / margin per transaction.</t>
  </si>
  <si>
    <t xml:space="preserve">S12: BTRC (telecom regulator) SMS tariff / your SMS gateway invoice; S13: upay official tariff page / app charges and Bangladesh Bank circulars on MFS charges</t>
  </si>
  <si>
    <t xml:space="preserve">C3</t>
  </si>
  <si>
    <t xml:space="preserve">Churn probability per false alarm</t>
  </si>
  <si>
    <t xml:space="preserve">Placeholder; measure by comparing 90-day retention of warned vs unwarned legitimate customers.</t>
  </si>
  <si>
    <t xml:space="preserve">C4</t>
  </si>
  <si>
    <t xml:space="preserve">Annual margin of an active customer</t>
  </si>
  <si>
    <t xml:space="preserve">BDT / year</t>
  </si>
  <si>
    <t xml:space="preserve">Placeholder; use upay's ARPU/margin.</t>
  </si>
  <si>
    <t xml:space="preserve">S2: upay / UCB annual report and Bangladesh Bank MFS provider-wise statistics; S13: upay official tariff page / app charges and Bangladesh Bank circulars on MFS charges</t>
  </si>
  <si>
    <t xml:space="preserve">K1</t>
  </si>
  <si>
    <t xml:space="preserve">Investment</t>
  </si>
  <si>
    <t xml:space="preserve">One-time cost (build, integration, security review, training)</t>
  </si>
  <si>
    <t xml:space="preserve">Placeholder, no upay quote exists.</t>
  </si>
  <si>
    <t xml:space="preserve">K2</t>
  </si>
  <si>
    <t xml:space="preserve">Monthly run cost (hosting, monitoring, retraining, support)</t>
  </si>
  <si>
    <t xml:space="preserve">Placeholder.</t>
  </si>
  <si>
    <t xml:space="preserve">H1</t>
  </si>
  <si>
    <t xml:space="preserve">ROI horizon</t>
  </si>
  <si>
    <t xml:space="preserve">months</t>
  </si>
  <si>
    <t xml:space="preserve">Chosen by the team; ROI = (net benefit x horizon - one-time cost) / one-time cost.</t>
  </si>
  <si>
    <t xml:space="preserve">(team decision)</t>
  </si>
  <si>
    <t xml:space="preserve">ScamShield impact model (monthly, BDT)</t>
  </si>
  <si>
    <t xml:space="preserve">All cells are formulas driven by the Assumptions sheet. Inputs are NOT real upay data.</t>
  </si>
  <si>
    <t xml:space="preserve">Line</t>
  </si>
  <si>
    <t xml:space="preserve">Formula / note</t>
  </si>
  <si>
    <t xml:space="preserve">A. Inputs used (linked from Assumptions)</t>
  </si>
  <si>
    <t xml:space="preserve">Monthly transactions scored</t>
  </si>
  <si>
    <t xml:space="preserve">tx / month</t>
  </si>
  <si>
    <t xml:space="preserve">Scam rate</t>
  </si>
  <si>
    <t xml:space="preserve">Average loss per scam</t>
  </si>
  <si>
    <t xml:space="preserve">Recall</t>
  </si>
  <si>
    <t xml:space="preserve">R3 (own Step 2/3 result on synthetic data)</t>
  </si>
  <si>
    <t xml:space="preserve">Intervention success</t>
  </si>
  <si>
    <t xml:space="preserve">False-alarm rate</t>
  </si>
  <si>
    <t xml:space="preserve">F1 (own Step 2/3 result on synthetic data)</t>
  </si>
  <si>
    <t xml:space="preserve">Share of flags reviewed by analyst</t>
  </si>
  <si>
    <t xml:space="preserve">Review minutes per case</t>
  </si>
  <si>
    <t xml:space="preserve">Analyst monthly cost</t>
  </si>
  <si>
    <t xml:space="preserve">Paid hours per month</t>
  </si>
  <si>
    <t xml:space="preserve">Utilization</t>
  </si>
  <si>
    <t xml:space="preserve">Notification cost per flag</t>
  </si>
  <si>
    <t xml:space="preserve">Support-contact rate per false alarm</t>
  </si>
  <si>
    <t xml:space="preserve">Cost per support contact</t>
  </si>
  <si>
    <t xml:space="preserve">Abandonment rate after false alarm</t>
  </si>
  <si>
    <t xml:space="preserve">Revenue lost per abandoned tx</t>
  </si>
  <si>
    <t xml:space="preserve">Annual margin per customer</t>
  </si>
  <si>
    <t xml:space="preserve">One-time cost</t>
  </si>
  <si>
    <t xml:space="preserve">Monthly run cost</t>
  </si>
  <si>
    <t xml:space="preserve">B. Prevented loss</t>
  </si>
  <si>
    <t xml:space="preserve">Scam transactions per month</t>
  </si>
  <si>
    <t xml:space="preserve">count</t>
  </si>
  <si>
    <t xml:space="preserve">volume x scam rate</t>
  </si>
  <si>
    <t xml:space="preserve">Legitimate transactions per month</t>
  </si>
  <si>
    <t xml:space="preserve">Total scam loss without ScamShield</t>
  </si>
  <si>
    <t xml:space="preserve">scams x average loss</t>
  </si>
  <si>
    <t xml:space="preserve">Literal formula: volume x rate x loss x recall</t>
  </si>
  <si>
    <t xml:space="preserve">the formula as specified (intervention success = 100%)</t>
  </si>
  <si>
    <t xml:space="preserve">Prevented loss</t>
  </si>
  <si>
    <t xml:space="preserve">literal x intervention success</t>
  </si>
  <si>
    <t xml:space="preserve">Scams flagged (true positives)</t>
  </si>
  <si>
    <t xml:space="preserve">Scams missed</t>
  </si>
  <si>
    <t xml:space="preserve">C. Costs</t>
  </si>
  <si>
    <t xml:space="preserve">False alarms per month</t>
  </si>
  <si>
    <t xml:space="preserve">legitimate transactions x false-alarm rate</t>
  </si>
  <si>
    <t xml:space="preserve">Total flags</t>
  </si>
  <si>
    <t xml:space="preserve">Precision at this prevalence</t>
  </si>
  <si>
    <t xml:space="preserve">share of flags that are real scams</t>
  </si>
  <si>
    <t xml:space="preserve">False-alarm cost (notification + support contact)</t>
  </si>
  <si>
    <t xml:space="preserve">false alarms x (notification + contact rate x contact cost)</t>
  </si>
  <si>
    <t xml:space="preserve">Cases reviewed by analysts</t>
  </si>
  <si>
    <t xml:space="preserve">true and false flags both need review</t>
  </si>
  <si>
    <t xml:space="preserve">Analyst cost per productive minute</t>
  </si>
  <si>
    <t xml:space="preserve">BDT / min</t>
  </si>
  <si>
    <t xml:space="preserve">Analyst cost per reviewed case</t>
  </si>
  <si>
    <t xml:space="preserve">Analyst time cost</t>
  </si>
  <si>
    <t xml:space="preserve">reviews x cost per review</t>
  </si>
  <si>
    <t xml:space="preserve">Customer-friction cost</t>
  </si>
  <si>
    <t xml:space="preserve">false alarms x (abandonment x lost revenue + churn x customer margin)</t>
  </si>
  <si>
    <t xml:space="preserve">Run cost</t>
  </si>
  <si>
    <t xml:space="preserve">Analysts needed</t>
  </si>
  <si>
    <t xml:space="preserve">FTE</t>
  </si>
  <si>
    <t xml:space="preserve">capacity check: can the team really review this many cases?</t>
  </si>
  <si>
    <t xml:space="preserve">D. Result</t>
  </si>
  <si>
    <t xml:space="preserve">NET MONTHLY BENEFIT</t>
  </si>
  <si>
    <t xml:space="preserve">prevented loss - false-alarm - analyst - friction - run</t>
  </si>
  <si>
    <t xml:space="preserve">PAYBACK</t>
  </si>
  <si>
    <t xml:space="preserve">one-time cost / net monthly benefit; 'never' if net &lt;= 0</t>
  </si>
  <si>
    <t xml:space="preserve">ROI over horizon</t>
  </si>
  <si>
    <t xml:space="preserve">(net x horizon - one-time) / one-time</t>
  </si>
  <si>
    <t xml:space="preserve">Cumulative net over horizon, after one-time cost</t>
  </si>
  <si>
    <t xml:space="preserve">E. Break-even checks</t>
  </si>
  <si>
    <t xml:space="preserve">All-in cost of ONE false alarm</t>
  </si>
  <si>
    <t xml:space="preserve">compare with the flat 20 BDT used in Step 2 (config/eval_costs.json)</t>
  </si>
  <si>
    <t xml:space="preserve">Net value of one flagged scam</t>
  </si>
  <si>
    <t xml:space="preserve">avoided loss minus its own review cost</t>
  </si>
  <si>
    <t xml:space="preserve">Break-even false-alarm rate</t>
  </si>
  <si>
    <t xml:space="preserve">highest false-alarm rate at which net = 0; 'none' = loses money even with zero false alarms</t>
  </si>
  <si>
    <t xml:space="preserve">Break-even scam rate</t>
  </si>
  <si>
    <t xml:space="preserve">lowest scam rate at which net = 0</t>
  </si>
  <si>
    <t xml:space="preserve">Share of total scam loss prevented</t>
  </si>
  <si>
    <t xml:space="preserve">Sensitivity of monthly net benefit (BDT), Medium scenario</t>
  </si>
  <si>
    <t xml:space="preserve">Axis values (blue) are editable. Every other input comes from ScamShield_Model column D (Medium).</t>
  </si>
  <si>
    <t xml:space="preserve">Grid 1: recall (across) x false-alarm rate (down)</t>
  </si>
  <si>
    <t xml:space="preserve">false-alarm rate \ recall</t>
  </si>
  <si>
    <t xml:space="preserve">Grid 2: scam rate (across) x average loss (down)</t>
  </si>
  <si>
    <t xml:space="preserve">average loss \ scam rate</t>
  </si>
  <si>
    <t xml:space="preserve">Positive = ScamShield earns more than it costs per month. One-at-a-time +/-25% sensitivity of every input is in results/step8_sensitivity_tornado.csv.</t>
  </si>
  <si>
    <t xml:space="preserve">Agent Copilot: measurable KPIs</t>
  </si>
  <si>
    <t xml:space="preserve">Baseline / pilot / target columns hold EXAMPLE values (placeholders; forecast-error row = our synthetic Step 1 result). Replace them with measured values. Design: randomise agents (stratified by area and size) into Copilot on / off for 8 weeks.</t>
  </si>
  <si>
    <t xml:space="preserve">KPI</t>
  </si>
  <si>
    <t xml:space="preserve">Better</t>
  </si>
  <si>
    <t xml:space="preserve">Definition</t>
  </si>
  <si>
    <t xml:space="preserve">Formula</t>
  </si>
  <si>
    <t xml:space="preserve">Data needed</t>
  </si>
  <si>
    <t xml:space="preserve">Guardrail</t>
  </si>
  <si>
    <t xml:space="preserve">Baseline (EXAMPLE)</t>
  </si>
  <si>
    <t xml:space="preserve">Pilot (EXAMPLE)</t>
  </si>
  <si>
    <t xml:space="preserve">Target change (ASSUMPTION)</t>
  </si>
  <si>
    <t xml:space="preserve">Change</t>
  </si>
  <si>
    <t xml:space="preserve">Target met?</t>
  </si>
  <si>
    <t xml:space="preserve">Stock-out hours</t>
  </si>
  <si>
    <t xml:space="preserve">hours / agent / month</t>
  </si>
  <si>
    <t xml:space="preserve">lower</t>
  </si>
  <si>
    <t xml:space="preserve">Hours in which the agent could not serve a normal cash-out because own cash or e-float was below the minimum service amount, or a cash-out request was declined for insufficient agent balance.</t>
  </si>
  <si>
    <t xml:space="preserve">stock-out hours = number of clock hours with (balance &lt; min service amount) OR (&gt;= 1 declined-for-liquidity request); averaged per agent per month</t>
  </si>
  <si>
    <t xml:space="preserve">Hourly agent cash/e-float snapshots; log of cash-out requests declined for liquidity; agent opening hours</t>
  </si>
  <si>
    <t xml:space="preserve">Do not count hours when the agent was closed. Count only declines caused by liquidity, not by network or fraud holds.</t>
  </si>
  <si>
    <t xml:space="preserve">EXAMPLE</t>
  </si>
  <si>
    <t xml:space="preserve">Completed transactions</t>
  </si>
  <si>
    <t xml:space="preserve">cash-out transactions / agent / week</t>
  </si>
  <si>
    <t xml:space="preserve">higher</t>
  </si>
  <si>
    <t xml:space="preserve">Cash-out transactions completed at the agent, plus the liquidity-failure rate (share of cash-out attempts that failed because the agent lacked cash/float).</t>
  </si>
  <si>
    <t xml:space="preserve">completed = count of successful cash-outs per agent-week; liquidity-failure rate = failed-for-liquidity / (completed + failed-for-liquidity)</t>
  </si>
  <si>
    <t xml:space="preserve">Transaction log with status and failure reason code, per agent</t>
  </si>
  <si>
    <t xml:space="preserve">Compare same weeks of the month (salary week vs non-salary week) between arms.</t>
  </si>
  <si>
    <t xml:space="preserve">Idle cash</t>
  </si>
  <si>
    <t xml:space="preserve">BDT / agent (average daily excess buffer)</t>
  </si>
  <si>
    <t xml:space="preserve">Average end-of-day cash + float held above what the next 7 days of observed demand needed (excess buffer). Lower is better only if stock-out hours do not rise.</t>
  </si>
  <si>
    <t xml:space="preserve">idle cash = mean over days of max(0, end-of-day balance - peak observed 7-day-ahead demand)</t>
  </si>
  <si>
    <t xml:space="preserve">End-of-day balances; realised daily cash-out demand per agent</t>
  </si>
  <si>
    <t xml:space="preserve">Report idle cash and stock-out hours together; a drop in idle cash with more stock-outs is a failure, not a saving.</t>
  </si>
  <si>
    <t xml:space="preserve">Forecast error vs 7-day-average baseline</t>
  </si>
  <si>
    <t xml:space="preserve">MAE, BDT per agent-day</t>
  </si>
  <si>
    <t xml:space="preserve">Mean absolute error of the 7-day forecast against realised cash-out demand, compared with the simple 7-day average.</t>
  </si>
  <si>
    <t xml:space="preserve">MAE = mean(|forecast - actual|); improvement = 1 - MAE_model / MAE_baseline</t>
  </si>
  <si>
    <t xml:space="preserve">Daily forecasts stored at issue time; realised daily demand</t>
  </si>
  <si>
    <t xml:space="preserve">Example values are our SYNTHETIC Step-1 numbers (about 13% better), not real agent data.</t>
  </si>
  <si>
    <t xml:space="preserve">Warning usefulness</t>
  </si>
  <si>
    <t xml:space="preserve">share of HIGH warnings followed by a real shortfall</t>
  </si>
  <si>
    <t xml:space="preserve">Precision of HIGH cash-shortage warnings and the share of warned agents who actually rebalanced before the predicted date.</t>
  </si>
  <si>
    <t xml:space="preserve">warning precision = HIGH warnings followed by a stock-out or near stock-out within 7 days / all HIGH warnings</t>
  </si>
  <si>
    <t xml:space="preserve">Warning log; rebalancing (cash-in / float purchase) log; stock-out log</t>
  </si>
  <si>
    <t xml:space="preserve">Too many unnecessary warnings make agents ignore the tool; track warnings per agent per week.</t>
  </si>
  <si>
    <t xml:space="preserve">Notes</t>
  </si>
  <si>
    <t xml:space="preserve">'Change' is relative (pilot / baseline - 1) except 'Warning usefulness', which is the percentage-point difference.</t>
  </si>
  <si>
    <t xml:space="preserve">Read stock-out hours, completed transactions and idle cash TOGETHER: lower idle cash with more stock-outs is a failure.</t>
  </si>
  <si>
    <t xml:space="preserve">The synthetic dataset has no cash balances, so these KPIs can only be measured in a real pilot with hourly balance snapshots and failure-reason codes.</t>
  </si>
  <si>
    <t xml:space="preserve">Sources to cite for context and baselines: S14 (agent-network surveys), S1 (Bangladesh Bank MFS statistics), S15-S16 (experiment design), S11 (cost of funds).</t>
  </si>
  <si>
    <t xml:space="preserve">Cost Advisor: A/B pilot to measure REAL fee savings</t>
  </si>
  <si>
    <t xml:space="preserve">No migration rate is assumed anywhere. Migration and savings are measured outputs of the pilot (section 3).</t>
  </si>
  <si>
    <t xml:space="preserve">1. Design</t>
  </si>
  <si>
    <t xml:space="preserve">Element</t>
  </si>
  <si>
    <t xml:space="preserve">Design</t>
  </si>
  <si>
    <t xml:space="preserve">Question</t>
  </si>
  <si>
    <t xml:space="preserve">How much do customers really save in fees, and how many small cash-outs really move to digital payments, when they see a Cost Advisor message? No migration rate is assumed: it is an OUTPUT of the pilot.</t>
  </si>
  <si>
    <t xml:space="preserve">Unit of randomisation</t>
  </si>
  <si>
    <t xml:space="preserve">Customer, stratified by Cost Advisor segment (low / regular / frequent) and by area (urban / rural). Use the agent or village as the unit instead if customers share agents and spill-over is likely.</t>
  </si>
  <si>
    <t xml:space="preserve">Eligibility</t>
  </si>
  <si>
    <t xml:space="preserve">Customers with at least 2 cash-outs under the small-cash-out limit in the 8-12 week pre-period, active in the last 30 days, not flagged by ScamShield, with message consent.</t>
  </si>
  <si>
    <t xml:space="preserve">Arms</t>
  </si>
  <si>
    <t xml:space="preserve">Control = no message (true holdout). Treatment = Cost Advisor message. Optional arm B = message plus a small incentive, only if the team wants to price the incentive.</t>
  </si>
  <si>
    <t xml:space="preserve">Allocation</t>
  </si>
  <si>
    <t xml:space="preserve">1:1 random assignment with a fixed seed written down before launch; check balance on pre-period fees, segment and area before launch (A/A check).</t>
  </si>
  <si>
    <t xml:space="preserve">Duration</t>
  </si>
  <si>
    <t xml:space="preserve">At least 8 weeks (two or more salary-week cycles). Do not stop early because an interim result looks good.</t>
  </si>
  <si>
    <t xml:space="preserve">Primary metric</t>
  </si>
  <si>
    <t xml:space="preserve">Net fees paid on cash-outs per customer-month (BDT), treatment minus control, intention-to-treat. Variance reduction with the pre-period value (CUPED) if the correlation is known.</t>
  </si>
  <si>
    <t xml:space="preserve">Secondary metrics</t>
  </si>
  <si>
    <t xml:space="preserve">Migration = share of eligible small cash-out value that moved to digital payments (measured, not assumed); count and value of digital payments; cash-out count.</t>
  </si>
  <si>
    <t xml:space="preserve">Upay-side metric</t>
  </si>
  <si>
    <t xml:space="preserve">Net revenue per customer-month: fees on cash-outs + merchant discount earned - incentives. A customer saving is a revenue transfer unless merchant revenue makes up for it.</t>
  </si>
  <si>
    <t xml:space="preserve">Guardrails</t>
  </si>
  <si>
    <t xml:space="preserve">Complaint rate, message opt-outs, total transaction value (must not fall), active-customer rate, cash-out failure rate. Any guardrail breach pauses the arm.</t>
  </si>
  <si>
    <t xml:space="preserve">Analysis</t>
  </si>
  <si>
    <t xml:space="preserve">Pre-registered. Difference in means with 95% confidence interval (template in the workbook). Report ITT first; treatment-on-treated only as a supplement.</t>
  </si>
  <si>
    <t xml:space="preserve">Decision rule</t>
  </si>
  <si>
    <t xml:space="preserve">Scale up only if the LOWER bound of the 95% CI of the saving is above the minimum worth acting on AND no guardrail is breached. Scale-up forecasts use the observed migration, never a fixed one.</t>
  </si>
  <si>
    <t xml:space="preserve">Ethics and wording</t>
  </si>
  <si>
    <t xml:space="preserve">Message states a possible saving honestly and is optional advice; no pressure, no hiding of cash-out. Control customers get the message after the pilot if it works.</t>
  </si>
  <si>
    <t xml:space="preserve">2. Sample size (edit blue cells)</t>
  </si>
  <si>
    <t xml:space="preserve">Input</t>
  </si>
  <si>
    <t xml:space="preserve">Value</t>
  </si>
  <si>
    <t xml:space="preserve">Basis</t>
  </si>
  <si>
    <t xml:space="preserve">Public sources to cite</t>
  </si>
  <si>
    <t xml:space="preserve">B1  Significance level alpha (two-sided)</t>
  </si>
  <si>
    <t xml:space="preserve">CONVENTION</t>
  </si>
  <si>
    <t xml:space="preserve">Standard experiment convention; change only if the team pre-registers a different value.</t>
  </si>
  <si>
    <t xml:space="preserve">S15: Kohavi, Tang, Xu, Trustworthy Online Controlled Experiments (Cambridge University Press, 2020)</t>
  </si>
  <si>
    <t xml:space="preserve">B2  Statistical power (1 - beta)</t>
  </si>
  <si>
    <t xml:space="preserve">Standard experiment convention.</t>
  </si>
  <si>
    <t xml:space="preserve">S15: Kohavi, Tang, Xu, Trustworthy Online Controlled Experiments (Cambridge University Press, 2020); S16: Duflo, Glennerster, Kremer, Using Randomization in Development Economics Research: A Toolkit (2007)</t>
  </si>
  <si>
    <t xml:space="preserve">B3  Std. deviation of fees paid per eligible customer-month</t>
  </si>
  <si>
    <t xml:space="preserve">Computed on our synthetic data (std of monthly fee on cash-outs under BDT 1,500, using the ASSUMED 1.4% rate). Replace with the std from 8-12 weeks of real pre-period data.</t>
  </si>
  <si>
    <t xml:space="preserve">S9: Your own pilot measurements (time-and-motion study, call-centre tags, cancellation logs, retention); S15: Kohavi, Tang, Xu, Trustworthy Online Controlled Experiments (Cambridge University Press, 2020)</t>
  </si>
  <si>
    <t xml:space="preserve">B4  Minimum detectable effect (saving per customer-month)</t>
  </si>
  <si>
    <t xml:space="preserve">Smallest saving worth acting on. Choose with the business team; smaller MDE needs many more customers.</t>
  </si>
  <si>
    <t xml:space="preserve">S13: upay official tariff page / app charges and Bangladesh Bank circulars on MFS charges; S15: Kohavi, Tang, Xu, Trustworthy Online Controlled Experiments (Cambridge University Press, 2020)</t>
  </si>
  <si>
    <t xml:space="preserve">B5  Correlation between pre-period and pilot-period fees (for CUPED)</t>
  </si>
  <si>
    <t xml:space="preserve">Measure on real pre-period data. Set to 0 to disable variance reduction.</t>
  </si>
  <si>
    <t xml:space="preserve">S17: Deng, Xu, Kohavi, Walker, Improving the Sensitivity of Online Controlled Experiments by Utilizing Pre-Experiment Data (CUPED, WSDM 2013)</t>
  </si>
  <si>
    <t xml:space="preserve">B6  Expected attrition / missing data</t>
  </si>
  <si>
    <t xml:space="preserve">Customers who become inactive or unreachable during the pilot.</t>
  </si>
  <si>
    <t xml:space="preserve">S16: Duflo, Glennerster, Kremer, Using Randomization in Development Economics Research: A Toolkit (2007)</t>
  </si>
  <si>
    <t xml:space="preserve">B7  Eligible customer base available for the pilot</t>
  </si>
  <si>
    <t xml:space="preserve">customers</t>
  </si>
  <si>
    <t xml:space="preserve">Replace with the real count of customers having at least 2 small cash-outs in the pre-period.</t>
  </si>
  <si>
    <t xml:space="preserve">S2: upay / UCB annual report and Bangladesh Bank MFS provider-wise statistics; S9: Your own pilot measurements (time-and-motion study, call-centre tags, cancellation logs, retention)</t>
  </si>
  <si>
    <t xml:space="preserve">B8  Pilot duration</t>
  </si>
  <si>
    <t xml:space="preserve">weeks</t>
  </si>
  <si>
    <t xml:space="preserve">At least two salary-week cycles; cash-out behaviour is strongly calendar-dependent.</t>
  </si>
  <si>
    <t xml:space="preserve">B9  Cash-out fee rate (customer pays at agent)</t>
  </si>
  <si>
    <t xml:space="preserve">fraction of amount</t>
  </si>
  <si>
    <t xml:space="preserve">Same prototype assumption as src/cashout_saver.py; a 2021 press report quoted upay at 1.4% for USSD agent cash-out. NOT confirmed as the current tariff.</t>
  </si>
  <si>
    <t xml:space="preserve">S13: upay official tariff page / app charges and Bangladesh Bank circulars on MFS charges</t>
  </si>
  <si>
    <t xml:space="preserve">B10  Customer fee on the digital alternative (merchant payment)</t>
  </si>
  <si>
    <t xml:space="preserve">Merchant payments are often free to the payer; check the tariff.</t>
  </si>
  <si>
    <t xml:space="preserve">B11  Merchant discount rate earned by upay on migrated value</t>
  </si>
  <si>
    <t xml:space="preserve">Placeholder; use upay's merchant pricing.</t>
  </si>
  <si>
    <t xml:space="preserve">B12  Small cash-out limit defining eligible cash-outs</t>
  </si>
  <si>
    <t xml:space="preserve">Equals SMALL_LIMIT in src/cashout_saver.py.</t>
  </si>
  <si>
    <t xml:space="preserve">z (alpha/2) + z (power)</t>
  </si>
  <si>
    <t xml:space="preserve">Customers needed per arm</t>
  </si>
  <si>
    <t xml:space="preserve">n = 2 (z_a/2 + z_b)^2 sigma^2 (1 - rho^2) / MDE^2   (normal approximation)</t>
  </si>
  <si>
    <t xml:space="preserve">Customers to enrol (both arms, after attrition)</t>
  </si>
  <si>
    <t xml:space="preserve">Enough eligible customers?</t>
  </si>
  <si>
    <t xml:space="preserve">3. Analysis template (enter pilot results; values below are EXAMPLES)</t>
  </si>
  <si>
    <t xml:space="preserve">Quantity</t>
  </si>
  <si>
    <t xml:space="preserve">How to get it</t>
  </si>
  <si>
    <t xml:space="preserve">Treatment customers analysed</t>
  </si>
  <si>
    <t xml:space="preserve">count after attrition</t>
  </si>
  <si>
    <t xml:space="preserve">Control customers analysed</t>
  </si>
  <si>
    <t xml:space="preserve">Mean fees paid per customer-month, treatment</t>
  </si>
  <si>
    <t xml:space="preserve">fees on cash-outs, pilot period (CUPED-adjusted if used)</t>
  </si>
  <si>
    <t xml:space="preserve">Mean fees paid per customer-month, control</t>
  </si>
  <si>
    <t xml:space="preserve">same definition</t>
  </si>
  <si>
    <t xml:space="preserve">Std. deviation, treatment</t>
  </si>
  <si>
    <t xml:space="preserve">observed</t>
  </si>
  <si>
    <t xml:space="preserve">Std. deviation, control</t>
  </si>
  <si>
    <t xml:space="preserve">Eligible small cash-out value per customer-month (control)</t>
  </si>
  <si>
    <t xml:space="preserve">observed in control arm; cash-outs below the small limit</t>
  </si>
  <si>
    <t xml:space="preserve">Observed migration (share of eligible small cash-out value moved to digital)</t>
  </si>
  <si>
    <t xml:space="preserve">MEASURED in pilot = (control small cash-out value - treatment small cash-out value) / control; NOT assumed</t>
  </si>
  <si>
    <t xml:space="preserve">Difference in mean fees (treatment - control)</t>
  </si>
  <si>
    <t xml:space="preserve">negative = customers pay less</t>
  </si>
  <si>
    <t xml:space="preserve">Standard error</t>
  </si>
  <si>
    <t xml:space="preserve">Customer saving per customer-month (BDT)</t>
  </si>
  <si>
    <t xml:space="preserve">equals minus the difference</t>
  </si>
  <si>
    <t xml:space="preserve">95% CI lower bound of saving</t>
  </si>
  <si>
    <t xml:space="preserve">use this lower bound for scale-up forecasts</t>
  </si>
  <si>
    <t xml:space="preserve">95% CI upper bound of saving</t>
  </si>
  <si>
    <t xml:space="preserve">Statistically significant saving?</t>
  </si>
  <si>
    <t xml:space="preserve">lower bound above zero</t>
  </si>
  <si>
    <t xml:space="preserve">Lower bound above the minimum worth acting on?</t>
  </si>
  <si>
    <t xml:space="preserve">compares with MDE (B4)</t>
  </si>
  <si>
    <t xml:space="preserve">Cross-check: saving implied by observed migration</t>
  </si>
  <si>
    <t xml:space="preserve">eligible value x observed migration x (cash-out fee rate - digital fee rate); should be close to the saving above</t>
  </si>
  <si>
    <t xml:space="preserve">upay net revenue change per customer-month</t>
  </si>
  <si>
    <t xml:space="preserve">migrated value x (digital fee + merchant discount - cash-out fee); negative = revenue transfer to customers</t>
  </si>
  <si>
    <t xml:space="preserve">Do not enter a migration rate before the pilot. Scale-up value = eligible customers x lower-bound saving x 12, never a fixed rate.</t>
  </si>
  <si>
    <t xml:space="preserve">Public sources to cite for each input</t>
  </si>
  <si>
    <t xml:space="preserve">Only S1 was seen live (2026-10-07). For every other source open it, copy the exact figure, edition and date, and cite that. Do not cite a source for a number you did not read in it.</t>
  </si>
  <si>
    <t xml:space="preserve">Source</t>
  </si>
  <si>
    <t xml:space="preserve">Where</t>
  </si>
  <si>
    <t xml:space="preserve">What to take from it</t>
  </si>
  <si>
    <t xml:space="preserve">Used for inputs</t>
  </si>
  <si>
    <t xml:space="preserve">Note</t>
  </si>
  <si>
    <t xml:space="preserve">S1</t>
  </si>
  <si>
    <t xml:space="preserve">Bangladesh Bank, Mobile Financial Services (MFS) Statistics: Transaction Statistics</t>
  </si>
  <si>
    <t xml:space="preserve">https://www.bb.org.bd/econdata/fin_digitalfstat/tab9.pdf</t>
  </si>
  <si>
    <t xml:space="preserve">Industry transaction counts and values; derive average ticket size and a plausible upay share. Monthly counts are in the hundreds of millions industry-wide.</t>
  </si>
  <si>
    <t xml:space="preserve">V1, R2</t>
  </si>
  <si>
    <t xml:space="preserve">Link appeared in a web search on 2026-10-07 with data up to May 2026. Open it and confirm the table before citing.</t>
  </si>
  <si>
    <t xml:space="preserve">S2</t>
  </si>
  <si>
    <t xml:space="preserve">upay / UCB annual report and Bangladesh Bank MFS provider-wise statistics</t>
  </si>
  <si>
    <t xml:space="preserve">https://www.bb.org.bd (search 'MFS statistics')</t>
  </si>
  <si>
    <t xml:space="preserve">Upay's own volume, active customers, revenue. Prefer the company's own internal figure.</t>
  </si>
  <si>
    <t xml:space="preserve">V1, C4, B7, B11</t>
  </si>
  <si>
    <t xml:space="preserve">Link/edition NOT re-verified. Open the source, note the exact figure, edition and date, then cite.</t>
  </si>
  <si>
    <t xml:space="preserve">S3</t>
  </si>
  <si>
    <t xml:space="preserve">Bangladesh Financial Intelligence Unit (BFIU) annual report</t>
  </si>
  <si>
    <t xml:space="preserve">https://www.bfiu.org.bd</t>
  </si>
  <si>
    <t xml:space="preserve">Suspicious-transaction reports and typologies involving MFS; verify the current edition.</t>
  </si>
  <si>
    <t xml:space="preserve">R1, R2</t>
  </si>
  <si>
    <t xml:space="preserve">S4</t>
  </si>
  <si>
    <t xml:space="preserve">Bangladesh Police / CID cyber-crime statistics and the National Cyber Security Agency</t>
  </si>
  <si>
    <t xml:space="preserve">https://www.police.gov.bd (verify current page)</t>
  </si>
  <si>
    <t xml:space="preserve">Reported MFS-related fraud cases and losses; reported cases understate true incidence.</t>
  </si>
  <si>
    <t xml:space="preserve">S5</t>
  </si>
  <si>
    <t xml:space="preserve">UK Finance, Annual Fraud Report (authorised push payment scams)</t>
  </si>
  <si>
    <t xml:space="preserve">https://www.ukfinance.org.uk</t>
  </si>
  <si>
    <t xml:space="preserve">International benchmark for APP-scam counts, values and share recovered; use only as a cross-check, not as a Bangladesh figure.</t>
  </si>
  <si>
    <t xml:space="preserve">R1, R4</t>
  </si>
  <si>
    <t xml:space="preserve">S6</t>
  </si>
  <si>
    <t xml:space="preserve">GSMA, State of the Industry Report on Mobile Money</t>
  </si>
  <si>
    <t xml:space="preserve">https://www.gsma.com/sotir</t>
  </si>
  <si>
    <t xml:space="preserve">Mobile-money fraud and consumer-protection context across markets.</t>
  </si>
  <si>
    <t xml:space="preserve">S7</t>
  </si>
  <si>
    <t xml:space="preserve">This project: results/step2_main_results.csv, results/step3_scenarios.csv, models/metrics.json</t>
  </si>
  <si>
    <t xml:space="preserve">(in repository)</t>
  </si>
  <si>
    <t xml:space="preserve">Recall and false-alarm rate. Synthetic data; say so whenever you cite them.</t>
  </si>
  <si>
    <t xml:space="preserve">R3, F1</t>
  </si>
  <si>
    <t xml:space="preserve">Internal source.</t>
  </si>
  <si>
    <t xml:space="preserve">S8</t>
  </si>
  <si>
    <t xml:space="preserve">UK Payment Systems Regulator, APP scams performance data</t>
  </si>
  <si>
    <t xml:space="preserve">https://www.psr.org.uk</t>
  </si>
  <si>
    <t xml:space="preserve">Share of APP-scam losses recovered or reimbursed; indicates how often a flagged payment can really be stopped.</t>
  </si>
  <si>
    <t xml:space="preserve">S9</t>
  </si>
  <si>
    <t xml:space="preserve">Your own pilot measurements (time-and-motion study, call-centre tags, cancellation logs, retention)</t>
  </si>
  <si>
    <t xml:space="preserve">(internal)</t>
  </si>
  <si>
    <t xml:space="preserve">The only credible source for analyst minutes, support contacts, abandonment and churn.</t>
  </si>
  <si>
    <t xml:space="preserve">A1, A2, A5, F3, F4, C1, C3, B3, B7</t>
  </si>
  <si>
    <t xml:space="preserve">S10</t>
  </si>
  <si>
    <t xml:space="preserve">Bangladesh Bureau of Statistics (BBS) wage and labour statistics; job-portal salary surveys</t>
  </si>
  <si>
    <t xml:space="preserve">https://bbs.gov.bd</t>
  </si>
  <si>
    <t xml:space="preserve">Salary level for analysts and call-centre staff; cross-check against upay HR.</t>
  </si>
  <si>
    <t xml:space="preserve">A3, A4, F4, K1, K2</t>
  </si>
  <si>
    <t xml:space="preserve">S11</t>
  </si>
  <si>
    <t xml:space="preserve">Bangladesh Bank, Monthly Economic Trends / interest-rate statistics</t>
  </si>
  <si>
    <t xml:space="preserve">https://www.bb.org.bd</t>
  </si>
  <si>
    <t xml:space="preserve">Cost of funds for idle-cash valuation (Agent Copilot calculator).</t>
  </si>
  <si>
    <t xml:space="preserve">S12</t>
  </si>
  <si>
    <t xml:space="preserve">BTRC (telecom regulator) SMS tariff / your SMS gateway invoice</t>
  </si>
  <si>
    <t xml:space="preserve">https://www.btrc.gov.bd</t>
  </si>
  <si>
    <t xml:space="preserve">Cost per SMS.</t>
  </si>
  <si>
    <t xml:space="preserve">F2, C2</t>
  </si>
  <si>
    <t xml:space="preserve">S13</t>
  </si>
  <si>
    <t xml:space="preserve">upay official tariff page / app charges and Bangladesh Bank circulars on MFS charges</t>
  </si>
  <si>
    <t xml:space="preserve">https://www.upaybd.com (verify current tariff)</t>
  </si>
  <si>
    <t xml:space="preserve">Send-money and cash-out fee schedule. A news report states Bangladesh Bank sets no fixed cash-out cap, so the provider's own tariff is the authority.</t>
  </si>
  <si>
    <t xml:space="preserve">C2, C4, B4, B9, B10, B11, B12</t>
  </si>
  <si>
    <t xml:space="preserve">S14</t>
  </si>
  <si>
    <t xml:space="preserve">Helix Institute of Digital Finance / InterMedia agent-network surveys (Bangladesh)</t>
  </si>
  <si>
    <t xml:space="preserve">https://www.helix-institute.com (verify availability)</t>
  </si>
  <si>
    <t xml:space="preserve">Agent liquidity problems, stock-out frequency, agent commission levels.</t>
  </si>
  <si>
    <t xml:space="preserve">S15</t>
  </si>
  <si>
    <t xml:space="preserve">Kohavi, Tang, Xu, Trustworthy Online Controlled Experiments (Cambridge University Press, 2020)</t>
  </si>
  <si>
    <t xml:space="preserve">(book)</t>
  </si>
  <si>
    <t xml:space="preserve">A/B test design, sample size, guardrail metrics.</t>
  </si>
  <si>
    <t xml:space="preserve">B1, B2, B3, B4</t>
  </si>
  <si>
    <t xml:space="preserve">S16</t>
  </si>
  <si>
    <t xml:space="preserve">Duflo, Glennerster, Kremer, Using Randomization in Development Economics Research: A Toolkit (2007)</t>
  </si>
  <si>
    <t xml:space="preserve">https://economics.mit.edu (search the title)</t>
  </si>
  <si>
    <t xml:space="preserve">Randomization units, stratification, spillovers, power.</t>
  </si>
  <si>
    <t xml:space="preserve">B2, B6, B8</t>
  </si>
  <si>
    <t xml:space="preserve">S17</t>
  </si>
  <si>
    <t xml:space="preserve">Deng, Xu, Kohavi, Walker, Improving the Sensitivity of Online Controlled Experiments by Utilizing Pre-Experiment Data (CUPED, WSDM 2013)</t>
  </si>
  <si>
    <t xml:space="preserve">(paper)</t>
  </si>
  <si>
    <t xml:space="preserve">Variance reduction with pre-period data.</t>
  </si>
  <si>
    <t xml:space="preserve">B5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</si>
</sst>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"/>
    <numFmt numFmtId="166" formatCode="0.000%"/>
    <numFmt numFmtId="167" formatCode="0.00%"/>
    <numFmt numFmtId="168" formatCode="#,##0.00"/>
    <numFmt numFmtId="169" formatCode="0.0%"/>
    <numFmt numFmtId="170" formatCode="0%"/>
    <numFmt numFmtId="171" formatCode="#,##0.0"/>
    <numFmt numFmtId="172" formatCode="#,##0;\(#,##0\);\-"/>
    <numFmt numFmtId="173" formatCode="0%;\(0%\);\-"/>
    <numFmt numFmtId="174" formatCode="\+0%;\-0%"/>
    <numFmt numFmtId="175" formatCode="\+0.0%;\-0.0%;0%"/>
    <numFmt numFmtId="176" formatCode="General"/>
    <numFmt numFmtId="177" formatCode="\+0%;\-0%;0%"/>
    <numFmt numFmtId="178" formatCode="0.000"/>
    <numFmt numFmtId="179" formatCode="#,##0.00;\(#,##0.0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0B3F8F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F8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3" t="s">
        <v>2</v>
      </c>
    </row>
    <row r="4" customFormat="false" ht="31.5" hidden="false" customHeight="true" outlineLevel="0" collapsed="false">
      <c r="A4" s="4" t="s">
        <v>3</v>
      </c>
      <c r="B4" s="4" t="s">
        <v>4</v>
      </c>
    </row>
    <row r="5" customFormat="false" ht="31.5" hidden="false" customHeight="true" outlineLevel="0" collapsed="false">
      <c r="A5" s="2" t="s">
        <v>5</v>
      </c>
      <c r="B5" s="3" t="s">
        <v>6</v>
      </c>
    </row>
    <row r="6" customFormat="false" ht="31.5" hidden="false" customHeight="true" outlineLevel="0" collapsed="false">
      <c r="A6" s="2" t="s">
        <v>7</v>
      </c>
      <c r="B6" s="3" t="s">
        <v>8</v>
      </c>
    </row>
    <row r="7" customFormat="false" ht="31.5" hidden="false" customHeight="true" outlineLevel="0" collapsed="false">
      <c r="A7" s="2" t="s">
        <v>9</v>
      </c>
      <c r="B7" s="3" t="s">
        <v>10</v>
      </c>
    </row>
    <row r="8" customFormat="false" ht="31.5" hidden="false" customHeight="true" outlineLevel="0" collapsed="false">
      <c r="A8" s="2" t="s">
        <v>11</v>
      </c>
      <c r="B8" s="3" t="s">
        <v>12</v>
      </c>
    </row>
    <row r="9" customFormat="false" ht="31.5" hidden="false" customHeight="true" outlineLevel="0" collapsed="false">
      <c r="A9" s="2" t="s">
        <v>13</v>
      </c>
      <c r="B9" s="3" t="s">
        <v>14</v>
      </c>
    </row>
    <row r="10" customFormat="false" ht="31.5" hidden="false" customHeight="true" outlineLevel="0" collapsed="false">
      <c r="A10" s="2" t="s">
        <v>15</v>
      </c>
      <c r="B10" s="3" t="s">
        <v>16</v>
      </c>
    </row>
    <row r="11" customFormat="false" ht="31.5" hidden="false" customHeight="true" outlineLevel="0" collapsed="false">
      <c r="A11" s="2" t="s">
        <v>17</v>
      </c>
      <c r="B11" s="3" t="s">
        <v>18</v>
      </c>
    </row>
    <row r="12" customFormat="false" ht="31.5" hidden="false" customHeight="true" outlineLevel="0" collapsed="false">
      <c r="A12" s="2" t="s">
        <v>19</v>
      </c>
      <c r="B12" s="3" t="s">
        <v>20</v>
      </c>
    </row>
    <row r="13" customFormat="false" ht="31.5" hidden="false" customHeight="true" outlineLevel="0" collapsed="false">
      <c r="A13" s="2" t="s">
        <v>21</v>
      </c>
      <c r="B13" s="3" t="s">
        <v>22</v>
      </c>
    </row>
    <row r="14" customFormat="false" ht="31.5" hidden="false" customHeight="true" outlineLevel="0" collapsed="false">
      <c r="A14" s="2" t="s">
        <v>23</v>
      </c>
      <c r="B14" s="3" t="s">
        <v>24</v>
      </c>
    </row>
    <row r="16" customFormat="false" ht="15" hidden="false" customHeight="false" outlineLevel="0" collapsed="false">
      <c r="A16" s="5" t="s">
        <v>25</v>
      </c>
      <c r="B16" s="6" t="s">
        <v>26</v>
      </c>
    </row>
    <row r="17" customFormat="false" ht="15" hidden="false" customHeight="false" outlineLevel="0" collapsed="false">
      <c r="B17" s="7" t="s">
        <v>27</v>
      </c>
    </row>
    <row r="18" customFormat="false" ht="15" hidden="false" customHeight="false" outlineLevel="0" collapsed="false">
      <c r="B18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7" min="5" style="0" width="14"/>
    <col collapsed="false" customWidth="true" hidden="false" outlineLevel="0" max="8" min="8" style="0" width="24"/>
    <col collapsed="false" customWidth="true" hidden="false" outlineLevel="0" max="9" min="9" style="0" width="6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9" t="s">
        <v>30</v>
      </c>
    </row>
    <row r="4" customFormat="false" ht="15" hidden="false" customHeight="false" outlineLevel="0" collapsed="false">
      <c r="A4" s="10" t="s">
        <v>31</v>
      </c>
      <c r="B4" s="10" t="s">
        <v>32</v>
      </c>
      <c r="C4" s="10" t="s">
        <v>33</v>
      </c>
      <c r="D4" s="10" t="s">
        <v>34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39</v>
      </c>
      <c r="J4" s="10" t="s">
        <v>40</v>
      </c>
    </row>
    <row r="5" customFormat="false" ht="54" hidden="false" customHeight="true" outlineLevel="0" collapsed="false">
      <c r="A5" s="5" t="s">
        <v>41</v>
      </c>
      <c r="B5" s="3" t="s">
        <v>42</v>
      </c>
      <c r="C5" s="3" t="s">
        <v>43</v>
      </c>
      <c r="D5" s="3" t="s">
        <v>44</v>
      </c>
      <c r="E5" s="11" t="n">
        <v>10000000</v>
      </c>
      <c r="F5" s="11" t="n">
        <v>10000000</v>
      </c>
      <c r="G5" s="11" t="n">
        <v>10000000</v>
      </c>
      <c r="H5" s="7" t="s">
        <v>45</v>
      </c>
      <c r="I5" s="3" t="s">
        <v>46</v>
      </c>
      <c r="J5" s="3" t="s">
        <v>47</v>
      </c>
    </row>
    <row r="6" customFormat="false" ht="54" hidden="false" customHeight="true" outlineLevel="0" collapsed="false">
      <c r="A6" s="5" t="s">
        <v>48</v>
      </c>
      <c r="B6" s="3" t="s">
        <v>49</v>
      </c>
      <c r="C6" s="3" t="s">
        <v>50</v>
      </c>
      <c r="D6" s="3" t="s">
        <v>51</v>
      </c>
      <c r="E6" s="12" t="n">
        <v>0.0001</v>
      </c>
      <c r="F6" s="12" t="n">
        <v>0.0003</v>
      </c>
      <c r="G6" s="12" t="n">
        <v>0.0006</v>
      </c>
      <c r="H6" s="7" t="s">
        <v>45</v>
      </c>
      <c r="I6" s="3" t="s">
        <v>52</v>
      </c>
      <c r="J6" s="3" t="s">
        <v>53</v>
      </c>
    </row>
    <row r="7" customFormat="false" ht="54" hidden="false" customHeight="true" outlineLevel="0" collapsed="false">
      <c r="A7" s="5" t="s">
        <v>54</v>
      </c>
      <c r="B7" s="3" t="s">
        <v>49</v>
      </c>
      <c r="C7" s="3" t="s">
        <v>55</v>
      </c>
      <c r="D7" s="3" t="s">
        <v>56</v>
      </c>
      <c r="E7" s="11" t="n">
        <v>3000</v>
      </c>
      <c r="F7" s="11" t="n">
        <v>6000</v>
      </c>
      <c r="G7" s="11" t="n">
        <v>10000</v>
      </c>
      <c r="H7" s="7" t="s">
        <v>45</v>
      </c>
      <c r="I7" s="3" t="s">
        <v>57</v>
      </c>
      <c r="J7" s="3" t="s">
        <v>58</v>
      </c>
    </row>
    <row r="8" customFormat="false" ht="54" hidden="false" customHeight="true" outlineLevel="0" collapsed="false">
      <c r="A8" s="5" t="s">
        <v>59</v>
      </c>
      <c r="B8" s="3" t="s">
        <v>60</v>
      </c>
      <c r="C8" s="3" t="s">
        <v>61</v>
      </c>
      <c r="D8" s="3" t="s">
        <v>51</v>
      </c>
      <c r="E8" s="13" t="n">
        <v>0.18</v>
      </c>
      <c r="F8" s="13" t="n">
        <v>0.447</v>
      </c>
      <c r="G8" s="13" t="n">
        <v>0.859</v>
      </c>
      <c r="H8" s="5" t="s">
        <v>62</v>
      </c>
      <c r="I8" s="3" t="s">
        <v>63</v>
      </c>
      <c r="J8" s="3" t="s">
        <v>64</v>
      </c>
    </row>
    <row r="9" customFormat="false" ht="54" hidden="false" customHeight="true" outlineLevel="0" collapsed="false">
      <c r="A9" s="5" t="s">
        <v>65</v>
      </c>
      <c r="B9" s="3" t="s">
        <v>60</v>
      </c>
      <c r="C9" s="3" t="s">
        <v>66</v>
      </c>
      <c r="D9" s="3" t="s">
        <v>51</v>
      </c>
      <c r="E9" s="13" t="n">
        <v>0.5</v>
      </c>
      <c r="F9" s="13" t="n">
        <v>0.7</v>
      </c>
      <c r="G9" s="13" t="n">
        <v>0.85</v>
      </c>
      <c r="H9" s="7" t="s">
        <v>45</v>
      </c>
      <c r="I9" s="3" t="s">
        <v>67</v>
      </c>
      <c r="J9" s="3" t="s">
        <v>68</v>
      </c>
    </row>
    <row r="10" customFormat="false" ht="54" hidden="false" customHeight="true" outlineLevel="0" collapsed="false">
      <c r="A10" s="5" t="s">
        <v>69</v>
      </c>
      <c r="B10" s="3" t="s">
        <v>70</v>
      </c>
      <c r="C10" s="3" t="s">
        <v>71</v>
      </c>
      <c r="D10" s="3" t="s">
        <v>51</v>
      </c>
      <c r="E10" s="13" t="n">
        <v>0.0677</v>
      </c>
      <c r="F10" s="13" t="n">
        <v>0.0224</v>
      </c>
      <c r="G10" s="13" t="n">
        <v>0.0195</v>
      </c>
      <c r="H10" s="5" t="s">
        <v>62</v>
      </c>
      <c r="I10" s="3" t="s">
        <v>72</v>
      </c>
      <c r="J10" s="3" t="s">
        <v>64</v>
      </c>
    </row>
    <row r="11" customFormat="false" ht="54" hidden="false" customHeight="true" outlineLevel="0" collapsed="false">
      <c r="A11" s="5" t="s">
        <v>73</v>
      </c>
      <c r="B11" s="3" t="s">
        <v>74</v>
      </c>
      <c r="C11" s="3" t="s">
        <v>75</v>
      </c>
      <c r="D11" s="3" t="s">
        <v>51</v>
      </c>
      <c r="E11" s="13" t="n">
        <v>1</v>
      </c>
      <c r="F11" s="13" t="n">
        <v>1</v>
      </c>
      <c r="G11" s="13" t="n">
        <v>1</v>
      </c>
      <c r="H11" s="7" t="s">
        <v>45</v>
      </c>
      <c r="I11" s="3" t="s">
        <v>76</v>
      </c>
      <c r="J11" s="3" t="s">
        <v>77</v>
      </c>
    </row>
    <row r="12" customFormat="false" ht="54" hidden="false" customHeight="true" outlineLevel="0" collapsed="false">
      <c r="A12" s="5" t="s">
        <v>78</v>
      </c>
      <c r="B12" s="3" t="s">
        <v>74</v>
      </c>
      <c r="C12" s="3" t="s">
        <v>79</v>
      </c>
      <c r="D12" s="3" t="s">
        <v>80</v>
      </c>
      <c r="E12" s="11" t="n">
        <v>6</v>
      </c>
      <c r="F12" s="11" t="n">
        <v>4</v>
      </c>
      <c r="G12" s="11" t="n">
        <v>3</v>
      </c>
      <c r="H12" s="7" t="s">
        <v>45</v>
      </c>
      <c r="I12" s="3" t="s">
        <v>81</v>
      </c>
      <c r="J12" s="3" t="s">
        <v>77</v>
      </c>
    </row>
    <row r="13" customFormat="false" ht="54" hidden="false" customHeight="true" outlineLevel="0" collapsed="false">
      <c r="A13" s="5" t="s">
        <v>82</v>
      </c>
      <c r="B13" s="3" t="s">
        <v>74</v>
      </c>
      <c r="C13" s="3" t="s">
        <v>83</v>
      </c>
      <c r="D13" s="3" t="s">
        <v>84</v>
      </c>
      <c r="E13" s="11" t="n">
        <v>45000</v>
      </c>
      <c r="F13" s="11" t="n">
        <v>35000</v>
      </c>
      <c r="G13" s="11" t="n">
        <v>30000</v>
      </c>
      <c r="H13" s="7" t="s">
        <v>45</v>
      </c>
      <c r="I13" s="3" t="s">
        <v>85</v>
      </c>
      <c r="J13" s="3" t="s">
        <v>86</v>
      </c>
    </row>
    <row r="14" customFormat="false" ht="54" hidden="false" customHeight="true" outlineLevel="0" collapsed="false">
      <c r="A14" s="5" t="s">
        <v>87</v>
      </c>
      <c r="B14" s="3" t="s">
        <v>74</v>
      </c>
      <c r="C14" s="3" t="s">
        <v>88</v>
      </c>
      <c r="D14" s="3" t="s">
        <v>89</v>
      </c>
      <c r="E14" s="11" t="n">
        <v>176</v>
      </c>
      <c r="F14" s="11" t="n">
        <v>176</v>
      </c>
      <c r="G14" s="11" t="n">
        <v>176</v>
      </c>
      <c r="H14" s="7" t="s">
        <v>45</v>
      </c>
      <c r="I14" s="3" t="s">
        <v>90</v>
      </c>
      <c r="J14" s="3" t="s">
        <v>91</v>
      </c>
    </row>
    <row r="15" customFormat="false" ht="54" hidden="false" customHeight="true" outlineLevel="0" collapsed="false">
      <c r="A15" s="5" t="s">
        <v>92</v>
      </c>
      <c r="B15" s="3" t="s">
        <v>74</v>
      </c>
      <c r="C15" s="3" t="s">
        <v>93</v>
      </c>
      <c r="D15" s="3" t="s">
        <v>51</v>
      </c>
      <c r="E15" s="13" t="n">
        <v>0.65</v>
      </c>
      <c r="F15" s="13" t="n">
        <v>0.65</v>
      </c>
      <c r="G15" s="13" t="n">
        <v>0.65</v>
      </c>
      <c r="H15" s="7" t="s">
        <v>45</v>
      </c>
      <c r="I15" s="3" t="s">
        <v>94</v>
      </c>
      <c r="J15" s="3" t="s">
        <v>77</v>
      </c>
    </row>
    <row r="16" customFormat="false" ht="54" hidden="false" customHeight="true" outlineLevel="0" collapsed="false">
      <c r="A16" s="5" t="s">
        <v>95</v>
      </c>
      <c r="B16" s="3" t="s">
        <v>96</v>
      </c>
      <c r="C16" s="3" t="s">
        <v>97</v>
      </c>
      <c r="D16" s="3" t="s">
        <v>56</v>
      </c>
      <c r="E16" s="14" t="n">
        <v>0.35</v>
      </c>
      <c r="F16" s="14" t="n">
        <v>0.35</v>
      </c>
      <c r="G16" s="14" t="n">
        <v>0.35</v>
      </c>
      <c r="H16" s="7" t="s">
        <v>45</v>
      </c>
      <c r="I16" s="3" t="s">
        <v>98</v>
      </c>
      <c r="J16" s="3" t="s">
        <v>99</v>
      </c>
    </row>
    <row r="17" customFormat="false" ht="54" hidden="false" customHeight="true" outlineLevel="0" collapsed="false">
      <c r="A17" s="5" t="s">
        <v>100</v>
      </c>
      <c r="B17" s="3" t="s">
        <v>96</v>
      </c>
      <c r="C17" s="3" t="s">
        <v>101</v>
      </c>
      <c r="D17" s="3" t="s">
        <v>51</v>
      </c>
      <c r="E17" s="13" t="n">
        <v>0.1</v>
      </c>
      <c r="F17" s="13" t="n">
        <v>0.05</v>
      </c>
      <c r="G17" s="13" t="n">
        <v>0.03</v>
      </c>
      <c r="H17" s="7" t="s">
        <v>45</v>
      </c>
      <c r="I17" s="3" t="s">
        <v>102</v>
      </c>
      <c r="J17" s="3" t="s">
        <v>77</v>
      </c>
    </row>
    <row r="18" customFormat="false" ht="54" hidden="false" customHeight="true" outlineLevel="0" collapsed="false">
      <c r="A18" s="5" t="s">
        <v>103</v>
      </c>
      <c r="B18" s="3" t="s">
        <v>96</v>
      </c>
      <c r="C18" s="3" t="s">
        <v>104</v>
      </c>
      <c r="D18" s="3" t="s">
        <v>56</v>
      </c>
      <c r="E18" s="11" t="n">
        <v>40</v>
      </c>
      <c r="F18" s="11" t="n">
        <v>30</v>
      </c>
      <c r="G18" s="11" t="n">
        <v>25</v>
      </c>
      <c r="H18" s="7" t="s">
        <v>45</v>
      </c>
      <c r="I18" s="3" t="s">
        <v>105</v>
      </c>
      <c r="J18" s="3" t="s">
        <v>106</v>
      </c>
    </row>
    <row r="19" customFormat="false" ht="54" hidden="false" customHeight="true" outlineLevel="0" collapsed="false">
      <c r="A19" s="5" t="s">
        <v>107</v>
      </c>
      <c r="B19" s="3" t="s">
        <v>108</v>
      </c>
      <c r="C19" s="3" t="s">
        <v>109</v>
      </c>
      <c r="D19" s="3" t="s">
        <v>51</v>
      </c>
      <c r="E19" s="13" t="n">
        <v>0.15</v>
      </c>
      <c r="F19" s="13" t="n">
        <v>0.08</v>
      </c>
      <c r="G19" s="13" t="n">
        <v>0.05</v>
      </c>
      <c r="H19" s="7" t="s">
        <v>45</v>
      </c>
      <c r="I19" s="3" t="s">
        <v>110</v>
      </c>
      <c r="J19" s="3" t="s">
        <v>77</v>
      </c>
    </row>
    <row r="20" customFormat="false" ht="54" hidden="false" customHeight="true" outlineLevel="0" collapsed="false">
      <c r="A20" s="5" t="s">
        <v>111</v>
      </c>
      <c r="B20" s="3" t="s">
        <v>108</v>
      </c>
      <c r="C20" s="3" t="s">
        <v>112</v>
      </c>
      <c r="D20" s="3" t="s">
        <v>56</v>
      </c>
      <c r="E20" s="11" t="n">
        <v>8</v>
      </c>
      <c r="F20" s="11" t="n">
        <v>5</v>
      </c>
      <c r="G20" s="11" t="n">
        <v>3</v>
      </c>
      <c r="H20" s="7" t="s">
        <v>45</v>
      </c>
      <c r="I20" s="3" t="s">
        <v>113</v>
      </c>
      <c r="J20" s="3" t="s">
        <v>114</v>
      </c>
    </row>
    <row r="21" customFormat="false" ht="54" hidden="false" customHeight="true" outlineLevel="0" collapsed="false">
      <c r="A21" s="5" t="s">
        <v>115</v>
      </c>
      <c r="B21" s="3" t="s">
        <v>108</v>
      </c>
      <c r="C21" s="3" t="s">
        <v>116</v>
      </c>
      <c r="D21" s="3" t="s">
        <v>51</v>
      </c>
      <c r="E21" s="12" t="n">
        <v>0.002</v>
      </c>
      <c r="F21" s="12" t="n">
        <v>0.0005</v>
      </c>
      <c r="G21" s="12" t="n">
        <v>0.0002</v>
      </c>
      <c r="H21" s="7" t="s">
        <v>45</v>
      </c>
      <c r="I21" s="3" t="s">
        <v>117</v>
      </c>
      <c r="J21" s="3" t="s">
        <v>77</v>
      </c>
    </row>
    <row r="22" customFormat="false" ht="54" hidden="false" customHeight="true" outlineLevel="0" collapsed="false">
      <c r="A22" s="5" t="s">
        <v>118</v>
      </c>
      <c r="B22" s="3" t="s">
        <v>108</v>
      </c>
      <c r="C22" s="3" t="s">
        <v>119</v>
      </c>
      <c r="D22" s="3" t="s">
        <v>120</v>
      </c>
      <c r="E22" s="11" t="n">
        <v>1000</v>
      </c>
      <c r="F22" s="11" t="n">
        <v>600</v>
      </c>
      <c r="G22" s="11" t="n">
        <v>400</v>
      </c>
      <c r="H22" s="7" t="s">
        <v>45</v>
      </c>
      <c r="I22" s="3" t="s">
        <v>121</v>
      </c>
      <c r="J22" s="3" t="s">
        <v>122</v>
      </c>
    </row>
    <row r="23" customFormat="false" ht="54" hidden="false" customHeight="true" outlineLevel="0" collapsed="false">
      <c r="A23" s="5" t="s">
        <v>123</v>
      </c>
      <c r="B23" s="3" t="s">
        <v>124</v>
      </c>
      <c r="C23" s="3" t="s">
        <v>125</v>
      </c>
      <c r="D23" s="3" t="s">
        <v>56</v>
      </c>
      <c r="E23" s="11" t="n">
        <v>20000000</v>
      </c>
      <c r="F23" s="11" t="n">
        <v>12000000</v>
      </c>
      <c r="G23" s="11" t="n">
        <v>8000000</v>
      </c>
      <c r="H23" s="7" t="s">
        <v>45</v>
      </c>
      <c r="I23" s="3" t="s">
        <v>126</v>
      </c>
      <c r="J23" s="3" t="s">
        <v>91</v>
      </c>
    </row>
    <row r="24" customFormat="false" ht="54" hidden="false" customHeight="true" outlineLevel="0" collapsed="false">
      <c r="A24" s="5" t="s">
        <v>127</v>
      </c>
      <c r="B24" s="3" t="s">
        <v>124</v>
      </c>
      <c r="C24" s="3" t="s">
        <v>128</v>
      </c>
      <c r="D24" s="3" t="s">
        <v>84</v>
      </c>
      <c r="E24" s="11" t="n">
        <v>800000</v>
      </c>
      <c r="F24" s="11" t="n">
        <v>500000</v>
      </c>
      <c r="G24" s="11" t="n">
        <v>350000</v>
      </c>
      <c r="H24" s="7" t="s">
        <v>45</v>
      </c>
      <c r="I24" s="3" t="s">
        <v>129</v>
      </c>
      <c r="J24" s="3" t="s">
        <v>91</v>
      </c>
    </row>
    <row r="25" customFormat="false" ht="54" hidden="false" customHeight="true" outlineLevel="0" collapsed="false">
      <c r="A25" s="5" t="s">
        <v>130</v>
      </c>
      <c r="B25" s="3" t="s">
        <v>124</v>
      </c>
      <c r="C25" s="3" t="s">
        <v>131</v>
      </c>
      <c r="D25" s="3" t="s">
        <v>132</v>
      </c>
      <c r="E25" s="11" t="n">
        <v>12</v>
      </c>
      <c r="F25" s="11" t="n">
        <v>12</v>
      </c>
      <c r="G25" s="11" t="n">
        <v>12</v>
      </c>
      <c r="H25" s="7" t="s">
        <v>45</v>
      </c>
      <c r="I25" s="3" t="s">
        <v>133</v>
      </c>
      <c r="J25" s="3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5" min="3" style="0" width="18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9" t="s">
        <v>136</v>
      </c>
    </row>
    <row r="4" customFormat="false" ht="15" hidden="false" customHeight="false" outlineLevel="0" collapsed="false">
      <c r="A4" s="10" t="s">
        <v>137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138</v>
      </c>
    </row>
    <row r="5" customFormat="false" ht="15" hidden="false" customHeight="false" outlineLevel="0" collapsed="false">
      <c r="A5" s="15" t="s">
        <v>139</v>
      </c>
      <c r="B5" s="16"/>
      <c r="C5" s="16"/>
      <c r="D5" s="16"/>
      <c r="E5" s="16"/>
      <c r="F5" s="16"/>
    </row>
    <row r="6" customFormat="false" ht="15" hidden="false" customHeight="false" outlineLevel="0" collapsed="false">
      <c r="A6" s="3" t="s">
        <v>140</v>
      </c>
      <c r="B6" s="7" t="s">
        <v>141</v>
      </c>
      <c r="C6" s="17" t="n">
        <f aca="false">Assumptions!E5</f>
        <v>10000000</v>
      </c>
      <c r="D6" s="17" t="n">
        <f aca="false">Assumptions!F5</f>
        <v>10000000</v>
      </c>
      <c r="E6" s="17" t="n">
        <f aca="false">Assumptions!G5</f>
        <v>10000000</v>
      </c>
      <c r="F6" s="3" t="s">
        <v>41</v>
      </c>
    </row>
    <row r="7" customFormat="false" ht="15" hidden="false" customHeight="false" outlineLevel="0" collapsed="false">
      <c r="A7" s="3" t="s">
        <v>142</v>
      </c>
      <c r="B7" s="7" t="s">
        <v>51</v>
      </c>
      <c r="C7" s="18" t="n">
        <f aca="false">Assumptions!E6</f>
        <v>0.0001</v>
      </c>
      <c r="D7" s="18" t="n">
        <f aca="false">Assumptions!F6</f>
        <v>0.0003</v>
      </c>
      <c r="E7" s="18" t="n">
        <f aca="false">Assumptions!G6</f>
        <v>0.0006</v>
      </c>
      <c r="F7" s="3" t="s">
        <v>48</v>
      </c>
    </row>
    <row r="8" customFormat="false" ht="15" hidden="false" customHeight="false" outlineLevel="0" collapsed="false">
      <c r="A8" s="3" t="s">
        <v>143</v>
      </c>
      <c r="B8" s="7" t="s">
        <v>56</v>
      </c>
      <c r="C8" s="17" t="n">
        <f aca="false">Assumptions!E7</f>
        <v>3000</v>
      </c>
      <c r="D8" s="17" t="n">
        <f aca="false">Assumptions!F7</f>
        <v>6000</v>
      </c>
      <c r="E8" s="17" t="n">
        <f aca="false">Assumptions!G7</f>
        <v>10000</v>
      </c>
      <c r="F8" s="3" t="s">
        <v>54</v>
      </c>
    </row>
    <row r="9" customFormat="false" ht="15" hidden="false" customHeight="false" outlineLevel="0" collapsed="false">
      <c r="A9" s="3" t="s">
        <v>144</v>
      </c>
      <c r="B9" s="7" t="s">
        <v>51</v>
      </c>
      <c r="C9" s="19" t="n">
        <f aca="false">Assumptions!E8</f>
        <v>0.18</v>
      </c>
      <c r="D9" s="19" t="n">
        <f aca="false">Assumptions!F8</f>
        <v>0.447</v>
      </c>
      <c r="E9" s="19" t="n">
        <f aca="false">Assumptions!G8</f>
        <v>0.859</v>
      </c>
      <c r="F9" s="3" t="s">
        <v>145</v>
      </c>
    </row>
    <row r="10" customFormat="false" ht="15" hidden="false" customHeight="false" outlineLevel="0" collapsed="false">
      <c r="A10" s="3" t="s">
        <v>146</v>
      </c>
      <c r="B10" s="7" t="s">
        <v>51</v>
      </c>
      <c r="C10" s="19" t="n">
        <f aca="false">Assumptions!E9</f>
        <v>0.5</v>
      </c>
      <c r="D10" s="19" t="n">
        <f aca="false">Assumptions!F9</f>
        <v>0.7</v>
      </c>
      <c r="E10" s="19" t="n">
        <f aca="false">Assumptions!G9</f>
        <v>0.85</v>
      </c>
      <c r="F10" s="3" t="s">
        <v>65</v>
      </c>
    </row>
    <row r="11" customFormat="false" ht="15" hidden="false" customHeight="false" outlineLevel="0" collapsed="false">
      <c r="A11" s="3" t="s">
        <v>147</v>
      </c>
      <c r="B11" s="7" t="s">
        <v>51</v>
      </c>
      <c r="C11" s="20" t="n">
        <f aca="false">Assumptions!E10</f>
        <v>0.0677</v>
      </c>
      <c r="D11" s="20" t="n">
        <f aca="false">Assumptions!F10</f>
        <v>0.0224</v>
      </c>
      <c r="E11" s="20" t="n">
        <f aca="false">Assumptions!G10</f>
        <v>0.0195</v>
      </c>
      <c r="F11" s="3" t="s">
        <v>148</v>
      </c>
    </row>
    <row r="12" customFormat="false" ht="15" hidden="false" customHeight="false" outlineLevel="0" collapsed="false">
      <c r="A12" s="3" t="s">
        <v>149</v>
      </c>
      <c r="B12" s="7" t="s">
        <v>51</v>
      </c>
      <c r="C12" s="21" t="n">
        <f aca="false">Assumptions!E11</f>
        <v>1</v>
      </c>
      <c r="D12" s="21" t="n">
        <f aca="false">Assumptions!F11</f>
        <v>1</v>
      </c>
      <c r="E12" s="21" t="n">
        <f aca="false">Assumptions!G11</f>
        <v>1</v>
      </c>
      <c r="F12" s="3" t="s">
        <v>73</v>
      </c>
    </row>
    <row r="13" customFormat="false" ht="15" hidden="false" customHeight="false" outlineLevel="0" collapsed="false">
      <c r="A13" s="3" t="s">
        <v>150</v>
      </c>
      <c r="B13" s="7" t="s">
        <v>80</v>
      </c>
      <c r="C13" s="22" t="n">
        <f aca="false">Assumptions!E12</f>
        <v>6</v>
      </c>
      <c r="D13" s="22" t="n">
        <f aca="false">Assumptions!F12</f>
        <v>4</v>
      </c>
      <c r="E13" s="22" t="n">
        <f aca="false">Assumptions!G12</f>
        <v>3</v>
      </c>
      <c r="F13" s="3" t="s">
        <v>78</v>
      </c>
    </row>
    <row r="14" customFormat="false" ht="15" hidden="false" customHeight="false" outlineLevel="0" collapsed="false">
      <c r="A14" s="3" t="s">
        <v>151</v>
      </c>
      <c r="B14" s="7" t="s">
        <v>84</v>
      </c>
      <c r="C14" s="17" t="n">
        <f aca="false">Assumptions!E13</f>
        <v>45000</v>
      </c>
      <c r="D14" s="17" t="n">
        <f aca="false">Assumptions!F13</f>
        <v>35000</v>
      </c>
      <c r="E14" s="17" t="n">
        <f aca="false">Assumptions!G13</f>
        <v>30000</v>
      </c>
      <c r="F14" s="3" t="s">
        <v>82</v>
      </c>
    </row>
    <row r="15" customFormat="false" ht="15" hidden="false" customHeight="false" outlineLevel="0" collapsed="false">
      <c r="A15" s="3" t="s">
        <v>152</v>
      </c>
      <c r="B15" s="7" t="s">
        <v>89</v>
      </c>
      <c r="C15" s="17" t="n">
        <f aca="false">Assumptions!E14</f>
        <v>176</v>
      </c>
      <c r="D15" s="17" t="n">
        <f aca="false">Assumptions!F14</f>
        <v>176</v>
      </c>
      <c r="E15" s="17" t="n">
        <f aca="false">Assumptions!G14</f>
        <v>176</v>
      </c>
      <c r="F15" s="3" t="s">
        <v>87</v>
      </c>
    </row>
    <row r="16" customFormat="false" ht="15" hidden="false" customHeight="false" outlineLevel="0" collapsed="false">
      <c r="A16" s="3" t="s">
        <v>153</v>
      </c>
      <c r="B16" s="7" t="s">
        <v>51</v>
      </c>
      <c r="C16" s="21" t="n">
        <f aca="false">Assumptions!E15</f>
        <v>0.65</v>
      </c>
      <c r="D16" s="21" t="n">
        <f aca="false">Assumptions!F15</f>
        <v>0.65</v>
      </c>
      <c r="E16" s="21" t="n">
        <f aca="false">Assumptions!G15</f>
        <v>0.65</v>
      </c>
      <c r="F16" s="3" t="s">
        <v>92</v>
      </c>
    </row>
    <row r="17" customFormat="false" ht="15" hidden="false" customHeight="false" outlineLevel="0" collapsed="false">
      <c r="A17" s="3" t="s">
        <v>154</v>
      </c>
      <c r="B17" s="7" t="s">
        <v>56</v>
      </c>
      <c r="C17" s="23" t="n">
        <f aca="false">Assumptions!E16</f>
        <v>0.35</v>
      </c>
      <c r="D17" s="23" t="n">
        <f aca="false">Assumptions!F16</f>
        <v>0.35</v>
      </c>
      <c r="E17" s="23" t="n">
        <f aca="false">Assumptions!G16</f>
        <v>0.35</v>
      </c>
      <c r="F17" s="3" t="s">
        <v>95</v>
      </c>
    </row>
    <row r="18" customFormat="false" ht="15" hidden="false" customHeight="false" outlineLevel="0" collapsed="false">
      <c r="A18" s="3" t="s">
        <v>155</v>
      </c>
      <c r="B18" s="7" t="s">
        <v>51</v>
      </c>
      <c r="C18" s="19" t="n">
        <f aca="false">Assumptions!E17</f>
        <v>0.1</v>
      </c>
      <c r="D18" s="19" t="n">
        <f aca="false">Assumptions!F17</f>
        <v>0.05</v>
      </c>
      <c r="E18" s="19" t="n">
        <f aca="false">Assumptions!G17</f>
        <v>0.03</v>
      </c>
      <c r="F18" s="3" t="s">
        <v>100</v>
      </c>
    </row>
    <row r="19" customFormat="false" ht="15" hidden="false" customHeight="false" outlineLevel="0" collapsed="false">
      <c r="A19" s="3" t="s">
        <v>156</v>
      </c>
      <c r="B19" s="7" t="s">
        <v>56</v>
      </c>
      <c r="C19" s="23" t="n">
        <f aca="false">Assumptions!E18</f>
        <v>40</v>
      </c>
      <c r="D19" s="23" t="n">
        <f aca="false">Assumptions!F18</f>
        <v>30</v>
      </c>
      <c r="E19" s="23" t="n">
        <f aca="false">Assumptions!G18</f>
        <v>25</v>
      </c>
      <c r="F19" s="3" t="s">
        <v>103</v>
      </c>
    </row>
    <row r="20" customFormat="false" ht="15" hidden="false" customHeight="false" outlineLevel="0" collapsed="false">
      <c r="A20" s="3" t="s">
        <v>157</v>
      </c>
      <c r="B20" s="7" t="s">
        <v>51</v>
      </c>
      <c r="C20" s="19" t="n">
        <f aca="false">Assumptions!E19</f>
        <v>0.15</v>
      </c>
      <c r="D20" s="19" t="n">
        <f aca="false">Assumptions!F19</f>
        <v>0.08</v>
      </c>
      <c r="E20" s="19" t="n">
        <f aca="false">Assumptions!G19</f>
        <v>0.05</v>
      </c>
      <c r="F20" s="3" t="s">
        <v>107</v>
      </c>
    </row>
    <row r="21" customFormat="false" ht="15" hidden="false" customHeight="false" outlineLevel="0" collapsed="false">
      <c r="A21" s="3" t="s">
        <v>158</v>
      </c>
      <c r="B21" s="7" t="s">
        <v>56</v>
      </c>
      <c r="C21" s="23" t="n">
        <f aca="false">Assumptions!E20</f>
        <v>8</v>
      </c>
      <c r="D21" s="23" t="n">
        <f aca="false">Assumptions!F20</f>
        <v>5</v>
      </c>
      <c r="E21" s="23" t="n">
        <f aca="false">Assumptions!G20</f>
        <v>3</v>
      </c>
      <c r="F21" s="3" t="s">
        <v>111</v>
      </c>
    </row>
    <row r="22" customFormat="false" ht="15" hidden="false" customHeight="false" outlineLevel="0" collapsed="false">
      <c r="A22" s="3" t="s">
        <v>116</v>
      </c>
      <c r="B22" s="7" t="s">
        <v>51</v>
      </c>
      <c r="C22" s="18" t="n">
        <f aca="false">Assumptions!E21</f>
        <v>0.002</v>
      </c>
      <c r="D22" s="18" t="n">
        <f aca="false">Assumptions!F21</f>
        <v>0.0005</v>
      </c>
      <c r="E22" s="18" t="n">
        <f aca="false">Assumptions!G21</f>
        <v>0.0002</v>
      </c>
      <c r="F22" s="3" t="s">
        <v>115</v>
      </c>
    </row>
    <row r="23" customFormat="false" ht="15" hidden="false" customHeight="false" outlineLevel="0" collapsed="false">
      <c r="A23" s="3" t="s">
        <v>159</v>
      </c>
      <c r="B23" s="7" t="s">
        <v>120</v>
      </c>
      <c r="C23" s="17" t="n">
        <f aca="false">Assumptions!E22</f>
        <v>1000</v>
      </c>
      <c r="D23" s="17" t="n">
        <f aca="false">Assumptions!F22</f>
        <v>600</v>
      </c>
      <c r="E23" s="17" t="n">
        <f aca="false">Assumptions!G22</f>
        <v>400</v>
      </c>
      <c r="F23" s="3" t="s">
        <v>118</v>
      </c>
    </row>
    <row r="24" customFormat="false" ht="15" hidden="false" customHeight="false" outlineLevel="0" collapsed="false">
      <c r="A24" s="3" t="s">
        <v>160</v>
      </c>
      <c r="B24" s="7" t="s">
        <v>56</v>
      </c>
      <c r="C24" s="17" t="n">
        <f aca="false">Assumptions!E23</f>
        <v>20000000</v>
      </c>
      <c r="D24" s="17" t="n">
        <f aca="false">Assumptions!F23</f>
        <v>12000000</v>
      </c>
      <c r="E24" s="17" t="n">
        <f aca="false">Assumptions!G23</f>
        <v>8000000</v>
      </c>
      <c r="F24" s="3" t="s">
        <v>123</v>
      </c>
    </row>
    <row r="25" customFormat="false" ht="15" hidden="false" customHeight="false" outlineLevel="0" collapsed="false">
      <c r="A25" s="3" t="s">
        <v>161</v>
      </c>
      <c r="B25" s="7" t="s">
        <v>84</v>
      </c>
      <c r="C25" s="17" t="n">
        <f aca="false">Assumptions!E24</f>
        <v>800000</v>
      </c>
      <c r="D25" s="17" t="n">
        <f aca="false">Assumptions!F24</f>
        <v>500000</v>
      </c>
      <c r="E25" s="17" t="n">
        <f aca="false">Assumptions!G24</f>
        <v>350000</v>
      </c>
      <c r="F25" s="3" t="s">
        <v>127</v>
      </c>
    </row>
    <row r="26" customFormat="false" ht="15" hidden="false" customHeight="false" outlineLevel="0" collapsed="false">
      <c r="A26" s="3" t="s">
        <v>131</v>
      </c>
      <c r="B26" s="7" t="s">
        <v>132</v>
      </c>
      <c r="C26" s="17" t="n">
        <f aca="false">Assumptions!E25</f>
        <v>12</v>
      </c>
      <c r="D26" s="17" t="n">
        <f aca="false">Assumptions!F25</f>
        <v>12</v>
      </c>
      <c r="E26" s="17" t="n">
        <f aca="false">Assumptions!G25</f>
        <v>12</v>
      </c>
      <c r="F26" s="3" t="s">
        <v>130</v>
      </c>
    </row>
    <row r="27" customFormat="false" ht="15" hidden="false" customHeight="false" outlineLevel="0" collapsed="false">
      <c r="A27" s="15" t="s">
        <v>162</v>
      </c>
      <c r="B27" s="16"/>
      <c r="C27" s="16"/>
      <c r="D27" s="16"/>
      <c r="E27" s="16"/>
      <c r="F27" s="16"/>
    </row>
    <row r="28" customFormat="false" ht="15" hidden="false" customHeight="false" outlineLevel="0" collapsed="false">
      <c r="A28" s="3" t="s">
        <v>163</v>
      </c>
      <c r="B28" s="7" t="s">
        <v>164</v>
      </c>
      <c r="C28" s="24" t="n">
        <f aca="false">C6*C7</f>
        <v>1000</v>
      </c>
      <c r="D28" s="24" t="n">
        <f aca="false">D6*D7</f>
        <v>3000</v>
      </c>
      <c r="E28" s="24" t="n">
        <f aca="false">E6*E7</f>
        <v>6000</v>
      </c>
      <c r="F28" s="3" t="s">
        <v>165</v>
      </c>
    </row>
    <row r="29" customFormat="false" ht="15" hidden="false" customHeight="false" outlineLevel="0" collapsed="false">
      <c r="A29" s="3" t="s">
        <v>166</v>
      </c>
      <c r="B29" s="7" t="s">
        <v>164</v>
      </c>
      <c r="C29" s="24" t="n">
        <f aca="false">C6-C28</f>
        <v>9999000</v>
      </c>
      <c r="D29" s="24" t="n">
        <f aca="false">D6-D28</f>
        <v>9997000</v>
      </c>
      <c r="E29" s="24" t="n">
        <f aca="false">E6-E28</f>
        <v>9994000</v>
      </c>
      <c r="F29" s="3"/>
    </row>
    <row r="30" customFormat="false" ht="15" hidden="false" customHeight="false" outlineLevel="0" collapsed="false">
      <c r="A30" s="3" t="s">
        <v>167</v>
      </c>
      <c r="B30" s="7" t="s">
        <v>56</v>
      </c>
      <c r="C30" s="24" t="n">
        <f aca="false">C28*C8</f>
        <v>3000000</v>
      </c>
      <c r="D30" s="24" t="n">
        <f aca="false">D28*D8</f>
        <v>18000000</v>
      </c>
      <c r="E30" s="24" t="n">
        <f aca="false">E28*E8</f>
        <v>60000000</v>
      </c>
      <c r="F30" s="3" t="s">
        <v>168</v>
      </c>
    </row>
    <row r="31" customFormat="false" ht="15" hidden="false" customHeight="false" outlineLevel="0" collapsed="false">
      <c r="A31" s="3" t="s">
        <v>169</v>
      </c>
      <c r="B31" s="7" t="s">
        <v>56</v>
      </c>
      <c r="C31" s="24" t="n">
        <f aca="false">C30*C9</f>
        <v>540000</v>
      </c>
      <c r="D31" s="24" t="n">
        <f aca="false">D30*D9</f>
        <v>8046000</v>
      </c>
      <c r="E31" s="24" t="n">
        <f aca="false">E30*E9</f>
        <v>51540000</v>
      </c>
      <c r="F31" s="3" t="s">
        <v>170</v>
      </c>
    </row>
    <row r="32" customFormat="false" ht="15" hidden="false" customHeight="false" outlineLevel="0" collapsed="false">
      <c r="A32" s="2" t="s">
        <v>171</v>
      </c>
      <c r="B32" s="7" t="s">
        <v>56</v>
      </c>
      <c r="C32" s="25" t="n">
        <f aca="false">C31*C10</f>
        <v>270000</v>
      </c>
      <c r="D32" s="25" t="n">
        <f aca="false">D31*D10</f>
        <v>5632200</v>
      </c>
      <c r="E32" s="25" t="n">
        <f aca="false">E31*E10</f>
        <v>43809000</v>
      </c>
      <c r="F32" s="3" t="s">
        <v>172</v>
      </c>
    </row>
    <row r="33" customFormat="false" ht="15" hidden="false" customHeight="false" outlineLevel="0" collapsed="false">
      <c r="A33" s="3" t="s">
        <v>173</v>
      </c>
      <c r="B33" s="7" t="s">
        <v>164</v>
      </c>
      <c r="C33" s="24" t="n">
        <f aca="false">C28*C9</f>
        <v>180</v>
      </c>
      <c r="D33" s="24" t="n">
        <f aca="false">D28*D9</f>
        <v>1341</v>
      </c>
      <c r="E33" s="24" t="n">
        <f aca="false">E28*E9</f>
        <v>5154</v>
      </c>
      <c r="F33" s="3"/>
    </row>
    <row r="34" customFormat="false" ht="15" hidden="false" customHeight="false" outlineLevel="0" collapsed="false">
      <c r="A34" s="3" t="s">
        <v>174</v>
      </c>
      <c r="B34" s="7" t="s">
        <v>164</v>
      </c>
      <c r="C34" s="24" t="n">
        <f aca="false">C28-C33</f>
        <v>820</v>
      </c>
      <c r="D34" s="24" t="n">
        <f aca="false">D28-D33</f>
        <v>1659</v>
      </c>
      <c r="E34" s="24" t="n">
        <f aca="false">E28-E33</f>
        <v>846</v>
      </c>
      <c r="F34" s="3"/>
    </row>
    <row r="35" customFormat="false" ht="15" hidden="false" customHeight="false" outlineLevel="0" collapsed="false">
      <c r="A35" s="15" t="s">
        <v>175</v>
      </c>
      <c r="B35" s="16"/>
      <c r="C35" s="16"/>
      <c r="D35" s="16"/>
      <c r="E35" s="16"/>
      <c r="F35" s="16"/>
    </row>
    <row r="36" customFormat="false" ht="15" hidden="false" customHeight="false" outlineLevel="0" collapsed="false">
      <c r="A36" s="3" t="s">
        <v>176</v>
      </c>
      <c r="B36" s="7" t="s">
        <v>164</v>
      </c>
      <c r="C36" s="24" t="n">
        <f aca="false">C29*C11</f>
        <v>676932.3</v>
      </c>
      <c r="D36" s="24" t="n">
        <f aca="false">D29*D11</f>
        <v>223932.8</v>
      </c>
      <c r="E36" s="24" t="n">
        <f aca="false">E29*E11</f>
        <v>194883</v>
      </c>
      <c r="F36" s="3" t="s">
        <v>177</v>
      </c>
    </row>
    <row r="37" customFormat="false" ht="15" hidden="false" customHeight="false" outlineLevel="0" collapsed="false">
      <c r="A37" s="3" t="s">
        <v>178</v>
      </c>
      <c r="B37" s="7" t="s">
        <v>164</v>
      </c>
      <c r="C37" s="24" t="n">
        <f aca="false">C33+C36</f>
        <v>677112.3</v>
      </c>
      <c r="D37" s="24" t="n">
        <f aca="false">D33+D36</f>
        <v>225273.8</v>
      </c>
      <c r="E37" s="24" t="n">
        <f aca="false">E33+E36</f>
        <v>200037</v>
      </c>
      <c r="F37" s="3"/>
    </row>
    <row r="38" customFormat="false" ht="15" hidden="false" customHeight="false" outlineLevel="0" collapsed="false">
      <c r="A38" s="3" t="s">
        <v>179</v>
      </c>
      <c r="B38" s="7" t="s">
        <v>51</v>
      </c>
      <c r="C38" s="26" t="n">
        <f aca="false">IF(C37=0,0,C33/C37)</f>
        <v>0.000265834781025245</v>
      </c>
      <c r="D38" s="26" t="n">
        <f aca="false">IF(D37=0,0,D33/D37)</f>
        <v>0.00595275615717407</v>
      </c>
      <c r="E38" s="26" t="n">
        <f aca="false">IF(E37=0,0,E33/E37)</f>
        <v>0.0257652334318151</v>
      </c>
      <c r="F38" s="3" t="s">
        <v>180</v>
      </c>
    </row>
    <row r="39" customFormat="false" ht="15" hidden="false" customHeight="false" outlineLevel="0" collapsed="false">
      <c r="A39" s="3" t="s">
        <v>181</v>
      </c>
      <c r="B39" s="7" t="s">
        <v>56</v>
      </c>
      <c r="C39" s="24" t="n">
        <f aca="false">C36*(C17+C18*C19)</f>
        <v>2944655.505</v>
      </c>
      <c r="D39" s="24" t="n">
        <f aca="false">D36*(D17+D18*D19)</f>
        <v>414275.68</v>
      </c>
      <c r="E39" s="24" t="n">
        <f aca="false">E36*(E17+E18*E19)</f>
        <v>214371.3</v>
      </c>
      <c r="F39" s="3" t="s">
        <v>182</v>
      </c>
    </row>
    <row r="40" customFormat="false" ht="15" hidden="false" customHeight="false" outlineLevel="0" collapsed="false">
      <c r="A40" s="3" t="s">
        <v>183</v>
      </c>
      <c r="B40" s="7" t="s">
        <v>164</v>
      </c>
      <c r="C40" s="24" t="n">
        <f aca="false">C37*C12</f>
        <v>677112.3</v>
      </c>
      <c r="D40" s="24" t="n">
        <f aca="false">D37*D12</f>
        <v>225273.8</v>
      </c>
      <c r="E40" s="24" t="n">
        <f aca="false">E37*E12</f>
        <v>200037</v>
      </c>
      <c r="F40" s="3" t="s">
        <v>184</v>
      </c>
    </row>
    <row r="41" customFormat="false" ht="15" hidden="false" customHeight="false" outlineLevel="0" collapsed="false">
      <c r="A41" s="3" t="s">
        <v>185</v>
      </c>
      <c r="B41" s="7" t="s">
        <v>186</v>
      </c>
      <c r="C41" s="27" t="n">
        <f aca="false">C14/(C15*60*C16)</f>
        <v>6.55594405594406</v>
      </c>
      <c r="D41" s="27" t="n">
        <f aca="false">D14/(D15*60*D16)</f>
        <v>5.0990675990676</v>
      </c>
      <c r="E41" s="27" t="n">
        <f aca="false">E14/(E15*60*E16)</f>
        <v>4.37062937062937</v>
      </c>
      <c r="F41" s="3"/>
    </row>
    <row r="42" customFormat="false" ht="15" hidden="false" customHeight="false" outlineLevel="0" collapsed="false">
      <c r="A42" s="3" t="s">
        <v>187</v>
      </c>
      <c r="B42" s="7" t="s">
        <v>56</v>
      </c>
      <c r="C42" s="27" t="n">
        <f aca="false">C41*C13</f>
        <v>39.3356643356643</v>
      </c>
      <c r="D42" s="27" t="n">
        <f aca="false">D41*D13</f>
        <v>20.3962703962704</v>
      </c>
      <c r="E42" s="27" t="n">
        <f aca="false">E41*E13</f>
        <v>13.1118881118881</v>
      </c>
      <c r="F42" s="3"/>
    </row>
    <row r="43" customFormat="false" ht="15" hidden="false" customHeight="false" outlineLevel="0" collapsed="false">
      <c r="A43" s="3" t="s">
        <v>188</v>
      </c>
      <c r="B43" s="7" t="s">
        <v>56</v>
      </c>
      <c r="C43" s="24" t="n">
        <f aca="false">C40*C42</f>
        <v>26634662.1503496</v>
      </c>
      <c r="D43" s="24" t="n">
        <f aca="false">D40*D42</f>
        <v>4594745.33799534</v>
      </c>
      <c r="E43" s="24" t="n">
        <f aca="false">E40*E42</f>
        <v>2622862.76223776</v>
      </c>
      <c r="F43" s="3" t="s">
        <v>189</v>
      </c>
    </row>
    <row r="44" customFormat="false" ht="15" hidden="false" customHeight="false" outlineLevel="0" collapsed="false">
      <c r="A44" s="3" t="s">
        <v>190</v>
      </c>
      <c r="B44" s="7" t="s">
        <v>56</v>
      </c>
      <c r="C44" s="24" t="n">
        <f aca="false">C36*(C20*C21+C22*C23)</f>
        <v>2166183.36</v>
      </c>
      <c r="D44" s="24" t="n">
        <f aca="false">D36*(D20*D21+D22*D23)</f>
        <v>156752.96</v>
      </c>
      <c r="E44" s="24" t="n">
        <f aca="false">E36*(E20*E21+E22*E23)</f>
        <v>44823.09</v>
      </c>
      <c r="F44" s="3" t="s">
        <v>191</v>
      </c>
    </row>
    <row r="45" customFormat="false" ht="15" hidden="false" customHeight="false" outlineLevel="0" collapsed="false">
      <c r="A45" s="3" t="s">
        <v>192</v>
      </c>
      <c r="B45" s="7" t="s">
        <v>56</v>
      </c>
      <c r="C45" s="24" t="n">
        <f aca="false">C25</f>
        <v>800000</v>
      </c>
      <c r="D45" s="24" t="n">
        <f aca="false">D25</f>
        <v>500000</v>
      </c>
      <c r="E45" s="24" t="n">
        <f aca="false">E25</f>
        <v>350000</v>
      </c>
      <c r="F45" s="3"/>
    </row>
    <row r="46" customFormat="false" ht="15" hidden="false" customHeight="false" outlineLevel="0" collapsed="false">
      <c r="A46" s="3" t="s">
        <v>193</v>
      </c>
      <c r="B46" s="7" t="s">
        <v>194</v>
      </c>
      <c r="C46" s="28" t="n">
        <f aca="false">C40*C13/(C15*60*C16)</f>
        <v>591.881381118881</v>
      </c>
      <c r="D46" s="28" t="n">
        <f aca="false">D40*D13/(D15*60*D16)</f>
        <v>131.278438228438</v>
      </c>
      <c r="E46" s="28" t="n">
        <f aca="false">E40*E13/(E15*60*E16)</f>
        <v>87.4287587412588</v>
      </c>
      <c r="F46" s="3" t="s">
        <v>195</v>
      </c>
    </row>
    <row r="47" customFormat="false" ht="15" hidden="false" customHeight="false" outlineLevel="0" collapsed="false">
      <c r="A47" s="15" t="s">
        <v>196</v>
      </c>
      <c r="B47" s="16"/>
      <c r="C47" s="16"/>
      <c r="D47" s="16"/>
      <c r="E47" s="16"/>
      <c r="F47" s="16"/>
    </row>
    <row r="48" customFormat="false" ht="15" hidden="false" customHeight="false" outlineLevel="0" collapsed="false">
      <c r="A48" s="2" t="s">
        <v>197</v>
      </c>
      <c r="B48" s="7" t="s">
        <v>56</v>
      </c>
      <c r="C48" s="29" t="n">
        <f aca="false">C32-C39-C43-C44-C45</f>
        <v>-32275501.0153496</v>
      </c>
      <c r="D48" s="29" t="n">
        <f aca="false">D32-D39-D43-D44-D45</f>
        <v>-33573.9779953389</v>
      </c>
      <c r="E48" s="29" t="n">
        <f aca="false">E32-E39-E43-E44-E45</f>
        <v>40576942.8477622</v>
      </c>
      <c r="F48" s="3" t="s">
        <v>198</v>
      </c>
    </row>
    <row r="49" customFormat="false" ht="15" hidden="false" customHeight="false" outlineLevel="0" collapsed="false">
      <c r="A49" s="2" t="s">
        <v>199</v>
      </c>
      <c r="B49" s="7" t="s">
        <v>132</v>
      </c>
      <c r="C49" s="30" t="str">
        <f aca="false">IF(C48&gt;0,C24/C48,"never")</f>
        <v>never</v>
      </c>
      <c r="D49" s="30" t="str">
        <f aca="false">IF(D48&gt;0,D24/D48,"never")</f>
        <v>never</v>
      </c>
      <c r="E49" s="30" t="n">
        <f aca="false">IF(E48&gt;0,E24/E48,"never")</f>
        <v>0.197156302041153</v>
      </c>
      <c r="F49" s="3" t="s">
        <v>200</v>
      </c>
    </row>
    <row r="50" customFormat="false" ht="15" hidden="false" customHeight="false" outlineLevel="0" collapsed="false">
      <c r="A50" s="2" t="s">
        <v>201</v>
      </c>
      <c r="B50" s="7" t="s">
        <v>51</v>
      </c>
      <c r="C50" s="31" t="n">
        <f aca="false">(C48*C26-C24)/C24</f>
        <v>-20.3653006092098</v>
      </c>
      <c r="D50" s="31" t="n">
        <f aca="false">(D48*D26-D24)/D24</f>
        <v>-1.03357397799534</v>
      </c>
      <c r="E50" s="31" t="n">
        <f aca="false">(E48*E26-E24)/E24</f>
        <v>59.8654142716433</v>
      </c>
      <c r="F50" s="3" t="s">
        <v>202</v>
      </c>
    </row>
    <row r="51" customFormat="false" ht="15" hidden="false" customHeight="false" outlineLevel="0" collapsed="false">
      <c r="A51" s="3" t="s">
        <v>203</v>
      </c>
      <c r="B51" s="7" t="s">
        <v>56</v>
      </c>
      <c r="C51" s="32" t="n">
        <f aca="false">C48*C26-C24</f>
        <v>-407306012.184196</v>
      </c>
      <c r="D51" s="32" t="n">
        <f aca="false">D48*D26-D24</f>
        <v>-12402887.7359441</v>
      </c>
      <c r="E51" s="32" t="n">
        <f aca="false">E48*E26-E24</f>
        <v>478923314.173147</v>
      </c>
      <c r="F51" s="3"/>
    </row>
    <row r="52" customFormat="false" ht="15" hidden="false" customHeight="false" outlineLevel="0" collapsed="false">
      <c r="A52" s="15" t="s">
        <v>204</v>
      </c>
      <c r="B52" s="16"/>
      <c r="C52" s="16"/>
      <c r="D52" s="16"/>
      <c r="E52" s="16"/>
      <c r="F52" s="16"/>
    </row>
    <row r="53" customFormat="false" ht="15" hidden="false" customHeight="false" outlineLevel="0" collapsed="false">
      <c r="A53" s="3" t="s">
        <v>205</v>
      </c>
      <c r="B53" s="7" t="s">
        <v>56</v>
      </c>
      <c r="C53" s="27" t="n">
        <f aca="false">C17+C18*C19+C20*C21+C22*C23+C12*C42</f>
        <v>46.8856643356643</v>
      </c>
      <c r="D53" s="27" t="n">
        <f aca="false">D17+D18*D19+D20*D21+D22*D23+D12*D42</f>
        <v>22.9462703962704</v>
      </c>
      <c r="E53" s="27" t="n">
        <f aca="false">E17+E18*E19+E20*E21+E22*E23+E12*E42</f>
        <v>14.4418881118881</v>
      </c>
      <c r="F53" s="3" t="s">
        <v>206</v>
      </c>
    </row>
    <row r="54" customFormat="false" ht="15" hidden="false" customHeight="false" outlineLevel="0" collapsed="false">
      <c r="A54" s="3" t="s">
        <v>207</v>
      </c>
      <c r="B54" s="7" t="s">
        <v>56</v>
      </c>
      <c r="C54" s="27" t="n">
        <f aca="false">C8*C10-C12*C42</f>
        <v>1460.66433566434</v>
      </c>
      <c r="D54" s="27" t="n">
        <f aca="false">D8*D10-D12*D42</f>
        <v>4179.60372960373</v>
      </c>
      <c r="E54" s="27" t="n">
        <f aca="false">E8*E10-E12*E42</f>
        <v>8486.88811188811</v>
      </c>
      <c r="F54" s="3" t="s">
        <v>208</v>
      </c>
    </row>
    <row r="55" customFormat="false" ht="23.85" hidden="false" customHeight="false" outlineLevel="0" collapsed="false">
      <c r="A55" s="3" t="s">
        <v>209</v>
      </c>
      <c r="B55" s="7" t="s">
        <v>51</v>
      </c>
      <c r="C55" s="33" t="str">
        <f aca="false">IF((C6*C7*C9*C54-C45)&gt;0,(C6*C7*C9*C54-C45)/(C6*(1-C7)*C53),"none")</f>
        <v>none</v>
      </c>
      <c r="D55" s="33" t="n">
        <f aca="false">IF((D6*D7*D9*D54-D45)&gt;0,(D6*D7*D9*D54-D45)/(D6*(1-D7)*D53),"none")</f>
        <v>0.0222536404712778</v>
      </c>
      <c r="E55" s="33" t="n">
        <f aca="false">IF((E6*E7*E9*E54-E45)&gt;0,(E6*E7*E9*E54-E45)/(E6*(1-E7)*E53),"none")</f>
        <v>0.300635702723791</v>
      </c>
      <c r="F55" s="3" t="s">
        <v>210</v>
      </c>
    </row>
    <row r="56" customFormat="false" ht="15" hidden="false" customHeight="false" outlineLevel="0" collapsed="false">
      <c r="A56" s="3" t="s">
        <v>211</v>
      </c>
      <c r="B56" s="7" t="s">
        <v>51</v>
      </c>
      <c r="C56" s="33" t="n">
        <f aca="false">IF((C6*(C9*C54+C11*C53))&gt;0,(C6*C11*C53+C45)/(C6*(C9*C54+C11*C53)),"none")</f>
        <v>0.0122293725391934</v>
      </c>
      <c r="D56" s="33" t="n">
        <f aca="false">IF((D6*(D9*D54+D11*D53))&gt;0,(D6*D11*D53+D45)/(D6*(D9*D54+D11*D53)),"none")</f>
        <v>0.000301796555776043</v>
      </c>
      <c r="E56" s="33" t="n">
        <f aca="false">IF((E6*(E9*E54+E11*E53))&gt;0,(E6*E11*E53+E45)/(E6*(E9*E54+E11*E53)),"none")</f>
        <v>4.34285734228248E-005</v>
      </c>
      <c r="F56" s="3" t="s">
        <v>212</v>
      </c>
    </row>
    <row r="57" customFormat="false" ht="15" hidden="false" customHeight="false" outlineLevel="0" collapsed="false">
      <c r="A57" s="3" t="s">
        <v>213</v>
      </c>
      <c r="B57" s="7" t="s">
        <v>51</v>
      </c>
      <c r="C57" s="26" t="n">
        <f aca="false">IF(C30=0,0,C32/C30)</f>
        <v>0.09</v>
      </c>
      <c r="D57" s="26" t="n">
        <f aca="false">IF(D30=0,0,D32/D30)</f>
        <v>0.3129</v>
      </c>
      <c r="E57" s="26" t="n">
        <f aca="false">IF(E30=0,0,E32/E30)</f>
        <v>0.73015</v>
      </c>
      <c r="F5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9" t="s">
        <v>215</v>
      </c>
    </row>
    <row r="4" customFormat="false" ht="15" hidden="false" customHeight="false" outlineLevel="0" collapsed="false">
      <c r="A4" s="34" t="s">
        <v>216</v>
      </c>
    </row>
    <row r="5" customFormat="false" ht="15" hidden="false" customHeight="false" outlineLevel="0" collapsed="false">
      <c r="A5" s="5" t="s">
        <v>217</v>
      </c>
      <c r="B5" s="35" t="n">
        <v>0.1</v>
      </c>
      <c r="C5" s="35" t="n">
        <v>0.18</v>
      </c>
      <c r="D5" s="35" t="n">
        <v>0.3</v>
      </c>
      <c r="E5" s="35" t="n">
        <v>0.447</v>
      </c>
      <c r="F5" s="35" t="n">
        <v>0.6</v>
      </c>
      <c r="G5" s="35" t="n">
        <v>0.75</v>
      </c>
      <c r="H5" s="35" t="n">
        <v>0.859</v>
      </c>
    </row>
    <row r="6" customFormat="false" ht="15" hidden="false" customHeight="false" outlineLevel="0" collapsed="false">
      <c r="A6" s="13" t="n">
        <v>0.005</v>
      </c>
      <c r="B6" s="32" t="n">
        <f aca="false">ScamShield_Model!$D$6*ScamShield_Model!$D$7*B$5*(ScamShield_Model!$D$8*ScamShield_Model!$D$10-ScamShield_Model!$D$12*ScamShield_Model!$D$42)-ScamShield_Model!$D$6*(1-ScamShield_Model!$D$7)*$A6*ScamShield_Model!$D$53-ScamShield_Model!$D$45</f>
        <v>-393088.206876457</v>
      </c>
      <c r="C6" s="32" t="n">
        <f aca="false">ScamShield_Model!$D$6*ScamShield_Model!$D$7*C$5*(ScamShield_Model!$D$8*ScamShield_Model!$D$10-ScamShield_Model!$D$12*ScamShield_Model!$D$42)-ScamShield_Model!$D$6*(1-ScamShield_Model!$D$7)*$A6*ScamShield_Model!$D$53-ScamShield_Model!$D$45</f>
        <v>610016.688228438</v>
      </c>
      <c r="D6" s="32" t="n">
        <f aca="false">ScamShield_Model!$D$6*ScamShield_Model!$D$7*D$5*(ScamShield_Model!$D$8*ScamShield_Model!$D$10-ScamShield_Model!$D$12*ScamShield_Model!$D$42)-ScamShield_Model!$D$6*(1-ScamShield_Model!$D$7)*$A6*ScamShield_Model!$D$53-ScamShield_Model!$D$45</f>
        <v>2114674.03088578</v>
      </c>
      <c r="E6" s="32" t="n">
        <f aca="false">ScamShield_Model!$D$6*ScamShield_Model!$D$7*E$5*(ScamShield_Model!$D$8*ScamShield_Model!$D$10-ScamShield_Model!$D$12*ScamShield_Model!$D$42)-ScamShield_Model!$D$6*(1-ScamShield_Model!$D$7)*$A6*ScamShield_Model!$D$53-ScamShield_Model!$D$45</f>
        <v>3957879.27564102</v>
      </c>
      <c r="F6" s="32" t="n">
        <f aca="false">ScamShield_Model!$D$6*ScamShield_Model!$D$7*F$5*(ScamShield_Model!$D$8*ScamShield_Model!$D$10-ScamShield_Model!$D$12*ScamShield_Model!$D$42)-ScamShield_Model!$D$6*(1-ScamShield_Model!$D$7)*$A6*ScamShield_Model!$D$53-ScamShield_Model!$D$45</f>
        <v>5876317.38752914</v>
      </c>
      <c r="G6" s="32" t="n">
        <f aca="false">ScamShield_Model!$D$6*ScamShield_Model!$D$7*G$5*(ScamShield_Model!$D$8*ScamShield_Model!$D$10-ScamShield_Model!$D$12*ScamShield_Model!$D$42)-ScamShield_Model!$D$6*(1-ScamShield_Model!$D$7)*$A6*ScamShield_Model!$D$53-ScamShield_Model!$D$45</f>
        <v>7757139.06585081</v>
      </c>
      <c r="H6" s="32" t="n">
        <f aca="false">ScamShield_Model!$D$6*ScamShield_Model!$D$7*H$5*(ScamShield_Model!$D$8*ScamShield_Model!$D$10-ScamShield_Model!$D$12*ScamShield_Model!$D$42)-ScamShield_Model!$D$6*(1-ScamShield_Model!$D$7)*$A6*ScamShield_Model!$D$53-ScamShield_Model!$D$45</f>
        <v>9123869.48543123</v>
      </c>
    </row>
    <row r="7" customFormat="false" ht="15" hidden="false" customHeight="false" outlineLevel="0" collapsed="false">
      <c r="A7" s="13" t="n">
        <v>0.01</v>
      </c>
      <c r="B7" s="32" t="n">
        <f aca="false">ScamShield_Model!$D$6*ScamShield_Model!$D$7*B$5*(ScamShield_Model!$D$8*ScamShield_Model!$D$10-ScamShield_Model!$D$12*ScamShield_Model!$D$42)-ScamShield_Model!$D$6*(1-ScamShield_Model!$D$7)*$A7*ScamShield_Model!$D$53-ScamShield_Model!$D$45</f>
        <v>-1540057.53263403</v>
      </c>
      <c r="C7" s="32" t="n">
        <f aca="false">ScamShield_Model!$D$6*ScamShield_Model!$D$7*C$5*(ScamShield_Model!$D$8*ScamShield_Model!$D$10-ScamShield_Model!$D$12*ScamShield_Model!$D$42)-ScamShield_Model!$D$6*(1-ScamShield_Model!$D$7)*$A7*ScamShield_Model!$D$53-ScamShield_Model!$D$45</f>
        <v>-536952.637529138</v>
      </c>
      <c r="D7" s="32" t="n">
        <f aca="false">ScamShield_Model!$D$6*ScamShield_Model!$D$7*D$5*(ScamShield_Model!$D$8*ScamShield_Model!$D$10-ScamShield_Model!$D$12*ScamShield_Model!$D$42)-ScamShield_Model!$D$6*(1-ScamShield_Model!$D$7)*$A7*ScamShield_Model!$D$53-ScamShield_Model!$D$45</f>
        <v>967704.705128205</v>
      </c>
      <c r="E7" s="32" t="n">
        <f aca="false">ScamShield_Model!$D$6*ScamShield_Model!$D$7*E$5*(ScamShield_Model!$D$8*ScamShield_Model!$D$10-ScamShield_Model!$D$12*ScamShield_Model!$D$42)-ScamShield_Model!$D$6*(1-ScamShield_Model!$D$7)*$A7*ScamShield_Model!$D$53-ScamShield_Model!$D$45</f>
        <v>2810909.94988345</v>
      </c>
      <c r="F7" s="32" t="n">
        <f aca="false">ScamShield_Model!$D$6*ScamShield_Model!$D$7*F$5*(ScamShield_Model!$D$8*ScamShield_Model!$D$10-ScamShield_Model!$D$12*ScamShield_Model!$D$42)-ScamShield_Model!$D$6*(1-ScamShield_Model!$D$7)*$A7*ScamShield_Model!$D$53-ScamShield_Model!$D$45</f>
        <v>4729348.06177156</v>
      </c>
      <c r="G7" s="32" t="n">
        <f aca="false">ScamShield_Model!$D$6*ScamShield_Model!$D$7*G$5*(ScamShield_Model!$D$8*ScamShield_Model!$D$10-ScamShield_Model!$D$12*ScamShield_Model!$D$42)-ScamShield_Model!$D$6*(1-ScamShield_Model!$D$7)*$A7*ScamShield_Model!$D$53-ScamShield_Model!$D$45</f>
        <v>6610169.74009324</v>
      </c>
      <c r="H7" s="32" t="n">
        <f aca="false">ScamShield_Model!$D$6*ScamShield_Model!$D$7*H$5*(ScamShield_Model!$D$8*ScamShield_Model!$D$10-ScamShield_Model!$D$12*ScamShield_Model!$D$42)-ScamShield_Model!$D$6*(1-ScamShield_Model!$D$7)*$A7*ScamShield_Model!$D$53-ScamShield_Model!$D$45</f>
        <v>7976900.15967366</v>
      </c>
    </row>
    <row r="8" customFormat="false" ht="15" hidden="false" customHeight="false" outlineLevel="0" collapsed="false">
      <c r="A8" s="13" t="n">
        <v>0.0195</v>
      </c>
      <c r="B8" s="32" t="n">
        <f aca="false">ScamShield_Model!$D$6*ScamShield_Model!$D$7*B$5*(ScamShield_Model!$D$8*ScamShield_Model!$D$10-ScamShield_Model!$D$12*ScamShield_Model!$D$42)-ScamShield_Model!$D$6*(1-ScamShield_Model!$D$7)*$A8*ScamShield_Model!$D$53-ScamShield_Model!$D$45</f>
        <v>-3719299.25157343</v>
      </c>
      <c r="C8" s="32" t="n">
        <f aca="false">ScamShield_Model!$D$6*ScamShield_Model!$D$7*C$5*(ScamShield_Model!$D$8*ScamShield_Model!$D$10-ScamShield_Model!$D$12*ScamShield_Model!$D$42)-ScamShield_Model!$D$6*(1-ScamShield_Model!$D$7)*$A8*ScamShield_Model!$D$53-ScamShield_Model!$D$45</f>
        <v>-2716194.35646853</v>
      </c>
      <c r="D8" s="32" t="n">
        <f aca="false">ScamShield_Model!$D$6*ScamShield_Model!$D$7*D$5*(ScamShield_Model!$D$8*ScamShield_Model!$D$10-ScamShield_Model!$D$12*ScamShield_Model!$D$42)-ScamShield_Model!$D$6*(1-ScamShield_Model!$D$7)*$A8*ScamShield_Model!$D$53-ScamShield_Model!$D$45</f>
        <v>-1211537.01381119</v>
      </c>
      <c r="E8" s="32" t="n">
        <f aca="false">ScamShield_Model!$D$6*ScamShield_Model!$D$7*E$5*(ScamShield_Model!$D$8*ScamShield_Model!$D$10-ScamShield_Model!$D$12*ScamShield_Model!$D$42)-ScamShield_Model!$D$6*(1-ScamShield_Model!$D$7)*$A8*ScamShield_Model!$D$53-ScamShield_Model!$D$45</f>
        <v>631668.230944055</v>
      </c>
      <c r="F8" s="32" t="n">
        <f aca="false">ScamShield_Model!$D$6*ScamShield_Model!$D$7*F$5*(ScamShield_Model!$D$8*ScamShield_Model!$D$10-ScamShield_Model!$D$12*ScamShield_Model!$D$42)-ScamShield_Model!$D$6*(1-ScamShield_Model!$D$7)*$A8*ScamShield_Model!$D$53-ScamShield_Model!$D$45</f>
        <v>2550106.34283217</v>
      </c>
      <c r="G8" s="32" t="n">
        <f aca="false">ScamShield_Model!$D$6*ScamShield_Model!$D$7*G$5*(ScamShield_Model!$D$8*ScamShield_Model!$D$10-ScamShield_Model!$D$12*ScamShield_Model!$D$42)-ScamShield_Model!$D$6*(1-ScamShield_Model!$D$7)*$A8*ScamShield_Model!$D$53-ScamShield_Model!$D$45</f>
        <v>4430928.02115384</v>
      </c>
      <c r="H8" s="32" t="n">
        <f aca="false">ScamShield_Model!$D$6*ScamShield_Model!$D$7*H$5*(ScamShield_Model!$D$8*ScamShield_Model!$D$10-ScamShield_Model!$D$12*ScamShield_Model!$D$42)-ScamShield_Model!$D$6*(1-ScamShield_Model!$D$7)*$A8*ScamShield_Model!$D$53-ScamShield_Model!$D$45</f>
        <v>5797658.44073426</v>
      </c>
    </row>
    <row r="9" customFormat="false" ht="15" hidden="false" customHeight="false" outlineLevel="0" collapsed="false">
      <c r="A9" s="13" t="n">
        <v>0.0224</v>
      </c>
      <c r="B9" s="32" t="n">
        <f aca="false">ScamShield_Model!$D$6*ScamShield_Model!$D$7*B$5*(ScamShield_Model!$D$8*ScamShield_Model!$D$10-ScamShield_Model!$D$12*ScamShield_Model!$D$42)-ScamShield_Model!$D$6*(1-ScamShield_Model!$D$7)*$A9*ScamShield_Model!$D$53-ScamShield_Model!$D$45</f>
        <v>-4384541.46051282</v>
      </c>
      <c r="C9" s="32" t="n">
        <f aca="false">ScamShield_Model!$D$6*ScamShield_Model!$D$7*C$5*(ScamShield_Model!$D$8*ScamShield_Model!$D$10-ScamShield_Model!$D$12*ScamShield_Model!$D$42)-ScamShield_Model!$D$6*(1-ScamShield_Model!$D$7)*$A9*ScamShield_Model!$D$53-ScamShield_Model!$D$45</f>
        <v>-3381436.56540793</v>
      </c>
      <c r="D9" s="32" t="n">
        <f aca="false">ScamShield_Model!$D$6*ScamShield_Model!$D$7*D$5*(ScamShield_Model!$D$8*ScamShield_Model!$D$10-ScamShield_Model!$D$12*ScamShield_Model!$D$42)-ScamShield_Model!$D$6*(1-ScamShield_Model!$D$7)*$A9*ScamShield_Model!$D$53-ScamShield_Model!$D$45</f>
        <v>-1876779.22275058</v>
      </c>
      <c r="E9" s="32" t="n">
        <f aca="false">ScamShield_Model!$D$6*ScamShield_Model!$D$7*E$5*(ScamShield_Model!$D$8*ScamShield_Model!$D$10-ScamShield_Model!$D$12*ScamShield_Model!$D$42)-ScamShield_Model!$D$6*(1-ScamShield_Model!$D$7)*$A9*ScamShield_Model!$D$53-ScamShield_Model!$D$45</f>
        <v>-33573.9779953389</v>
      </c>
      <c r="F9" s="32" t="n">
        <f aca="false">ScamShield_Model!$D$6*ScamShield_Model!$D$7*F$5*(ScamShield_Model!$D$8*ScamShield_Model!$D$10-ScamShield_Model!$D$12*ScamShield_Model!$D$42)-ScamShield_Model!$D$6*(1-ScamShield_Model!$D$7)*$A9*ScamShield_Model!$D$53-ScamShield_Model!$D$45</f>
        <v>1884864.13389277</v>
      </c>
      <c r="G9" s="32" t="n">
        <f aca="false">ScamShield_Model!$D$6*ScamShield_Model!$D$7*G$5*(ScamShield_Model!$D$8*ScamShield_Model!$D$10-ScamShield_Model!$D$12*ScamShield_Model!$D$42)-ScamShield_Model!$D$6*(1-ScamShield_Model!$D$7)*$A9*ScamShield_Model!$D$53-ScamShield_Model!$D$45</f>
        <v>3765685.81221445</v>
      </c>
      <c r="H9" s="32" t="n">
        <f aca="false">ScamShield_Model!$D$6*ScamShield_Model!$D$7*H$5*(ScamShield_Model!$D$8*ScamShield_Model!$D$10-ScamShield_Model!$D$12*ScamShield_Model!$D$42)-ScamShield_Model!$D$6*(1-ScamShield_Model!$D$7)*$A9*ScamShield_Model!$D$53-ScamShield_Model!$D$45</f>
        <v>5132416.23179487</v>
      </c>
    </row>
    <row r="10" customFormat="false" ht="15" hidden="false" customHeight="false" outlineLevel="0" collapsed="false">
      <c r="A10" s="13" t="n">
        <v>0.04</v>
      </c>
      <c r="B10" s="32" t="n">
        <f aca="false">ScamShield_Model!$D$6*ScamShield_Model!$D$7*B$5*(ScamShield_Model!$D$8*ScamShield_Model!$D$10-ScamShield_Model!$D$12*ScamShield_Model!$D$42)-ScamShield_Model!$D$6*(1-ScamShield_Model!$D$7)*$A10*ScamShield_Model!$D$53-ScamShield_Model!$D$45</f>
        <v>-8421873.48717949</v>
      </c>
      <c r="C10" s="32" t="n">
        <f aca="false">ScamShield_Model!$D$6*ScamShield_Model!$D$7*C$5*(ScamShield_Model!$D$8*ScamShield_Model!$D$10-ScamShield_Model!$D$12*ScamShield_Model!$D$42)-ScamShield_Model!$D$6*(1-ScamShield_Model!$D$7)*$A10*ScamShield_Model!$D$53-ScamShield_Model!$D$45</f>
        <v>-7418768.59207459</v>
      </c>
      <c r="D10" s="32" t="n">
        <f aca="false">ScamShield_Model!$D$6*ScamShield_Model!$D$7*D$5*(ScamShield_Model!$D$8*ScamShield_Model!$D$10-ScamShield_Model!$D$12*ScamShield_Model!$D$42)-ScamShield_Model!$D$6*(1-ScamShield_Model!$D$7)*$A10*ScamShield_Model!$D$53-ScamShield_Model!$D$45</f>
        <v>-5914111.24941725</v>
      </c>
      <c r="E10" s="32" t="n">
        <f aca="false">ScamShield_Model!$D$6*ScamShield_Model!$D$7*E$5*(ScamShield_Model!$D$8*ScamShield_Model!$D$10-ScamShield_Model!$D$12*ScamShield_Model!$D$42)-ScamShield_Model!$D$6*(1-ScamShield_Model!$D$7)*$A10*ScamShield_Model!$D$53-ScamShield_Model!$D$45</f>
        <v>-4070906.00466201</v>
      </c>
      <c r="F10" s="32" t="n">
        <f aca="false">ScamShield_Model!$D$6*ScamShield_Model!$D$7*F$5*(ScamShield_Model!$D$8*ScamShield_Model!$D$10-ScamShield_Model!$D$12*ScamShield_Model!$D$42)-ScamShield_Model!$D$6*(1-ScamShield_Model!$D$7)*$A10*ScamShield_Model!$D$53-ScamShield_Model!$D$45</f>
        <v>-2152467.89277389</v>
      </c>
      <c r="G10" s="32" t="n">
        <f aca="false">ScamShield_Model!$D$6*ScamShield_Model!$D$7*G$5*(ScamShield_Model!$D$8*ScamShield_Model!$D$10-ScamShield_Model!$D$12*ScamShield_Model!$D$42)-ScamShield_Model!$D$6*(1-ScamShield_Model!$D$7)*$A10*ScamShield_Model!$D$53-ScamShield_Model!$D$45</f>
        <v>-271646.214452216</v>
      </c>
      <c r="H10" s="32" t="n">
        <f aca="false">ScamShield_Model!$D$6*ScamShield_Model!$D$7*H$5*(ScamShield_Model!$D$8*ScamShield_Model!$D$10-ScamShield_Model!$D$12*ScamShield_Model!$D$42)-ScamShield_Model!$D$6*(1-ScamShield_Model!$D$7)*$A10*ScamShield_Model!$D$53-ScamShield_Model!$D$45</f>
        <v>1095084.2051282</v>
      </c>
    </row>
    <row r="11" customFormat="false" ht="15" hidden="false" customHeight="false" outlineLevel="0" collapsed="false">
      <c r="A11" s="13" t="n">
        <v>0.0677</v>
      </c>
      <c r="B11" s="32" t="n">
        <f aca="false">ScamShield_Model!$D$6*ScamShield_Model!$D$7*B$5*(ScamShield_Model!$D$8*ScamShield_Model!$D$10-ScamShield_Model!$D$12*ScamShield_Model!$D$42)-ScamShield_Model!$D$6*(1-ScamShield_Model!$D$7)*$A11*ScamShield_Model!$D$53-ScamShield_Model!$D$45</f>
        <v>-14776083.5518765</v>
      </c>
      <c r="C11" s="32" t="n">
        <f aca="false">ScamShield_Model!$D$6*ScamShield_Model!$D$7*C$5*(ScamShield_Model!$D$8*ScamShield_Model!$D$10-ScamShield_Model!$D$12*ScamShield_Model!$D$42)-ScamShield_Model!$D$6*(1-ScamShield_Model!$D$7)*$A11*ScamShield_Model!$D$53-ScamShield_Model!$D$45</f>
        <v>-13772978.6567716</v>
      </c>
      <c r="D11" s="32" t="n">
        <f aca="false">ScamShield_Model!$D$6*ScamShield_Model!$D$7*D$5*(ScamShield_Model!$D$8*ScamShield_Model!$D$10-ScamShield_Model!$D$12*ScamShield_Model!$D$42)-ScamShield_Model!$D$6*(1-ScamShield_Model!$D$7)*$A11*ScamShield_Model!$D$53-ScamShield_Model!$D$45</f>
        <v>-12268321.3141142</v>
      </c>
      <c r="E11" s="32" t="n">
        <f aca="false">ScamShield_Model!$D$6*ScamShield_Model!$D$7*E$5*(ScamShield_Model!$D$8*ScamShield_Model!$D$10-ScamShield_Model!$D$12*ScamShield_Model!$D$42)-ScamShield_Model!$D$6*(1-ScamShield_Model!$D$7)*$A11*ScamShield_Model!$D$53-ScamShield_Model!$D$45</f>
        <v>-10425116.069359</v>
      </c>
      <c r="F11" s="32" t="n">
        <f aca="false">ScamShield_Model!$D$6*ScamShield_Model!$D$7*F$5*(ScamShield_Model!$D$8*ScamShield_Model!$D$10-ScamShield_Model!$D$12*ScamShield_Model!$D$42)-ScamShield_Model!$D$6*(1-ScamShield_Model!$D$7)*$A11*ScamShield_Model!$D$53-ScamShield_Model!$D$45</f>
        <v>-8506677.95747086</v>
      </c>
      <c r="G11" s="32" t="n">
        <f aca="false">ScamShield_Model!$D$6*ScamShield_Model!$D$7*G$5*(ScamShield_Model!$D$8*ScamShield_Model!$D$10-ScamShield_Model!$D$12*ScamShield_Model!$D$42)-ScamShield_Model!$D$6*(1-ScamShield_Model!$D$7)*$A11*ScamShield_Model!$D$53-ScamShield_Model!$D$45</f>
        <v>-6625856.27914918</v>
      </c>
      <c r="H11" s="32" t="n">
        <f aca="false">ScamShield_Model!$D$6*ScamShield_Model!$D$7*H$5*(ScamShield_Model!$D$8*ScamShield_Model!$D$10-ScamShield_Model!$D$12*ScamShield_Model!$D$42)-ScamShield_Model!$D$6*(1-ScamShield_Model!$D$7)*$A11*ScamShield_Model!$D$53-ScamShield_Model!$D$45</f>
        <v>-5259125.85956877</v>
      </c>
    </row>
    <row r="14" customFormat="false" ht="15" hidden="false" customHeight="false" outlineLevel="0" collapsed="false">
      <c r="A14" s="34" t="s">
        <v>218</v>
      </c>
    </row>
    <row r="15" customFormat="false" ht="15" hidden="false" customHeight="false" outlineLevel="0" collapsed="false">
      <c r="A15" s="5" t="s">
        <v>219</v>
      </c>
      <c r="B15" s="12" t="n">
        <v>0.0001</v>
      </c>
      <c r="C15" s="12" t="n">
        <v>0.0002</v>
      </c>
      <c r="D15" s="12" t="n">
        <v>0.0003</v>
      </c>
      <c r="E15" s="12" t="n">
        <v>0.0006</v>
      </c>
      <c r="F15" s="12" t="n">
        <v>0.001</v>
      </c>
    </row>
    <row r="16" customFormat="false" ht="15" hidden="false" customHeight="false" outlineLevel="0" collapsed="false">
      <c r="A16" s="11" t="n">
        <v>2000</v>
      </c>
      <c r="B16" s="32" t="n">
        <f aca="false">ScamShield_Model!$D$6*B$15*ScamShield_Model!$D$9*($A16*ScamShield_Model!$D$10-ScamShield_Model!$D$12*ScamShield_Model!$D$42)-ScamShield_Model!$D$6*(1-B$15)*ScamShield_Model!$D$11*ScamShield_Model!$D$53-ScamShield_Model!$D$45</f>
        <v>-5022767.70517483</v>
      </c>
      <c r="C16" s="32" t="n">
        <f aca="false">ScamShield_Model!$D$6*C$15*ScamShield_Model!$D$9*($A16*ScamShield_Model!$D$10-ScamShield_Model!$D$12*ScamShield_Model!$D$42)-ScamShield_Model!$D$6*(1-C$15)*ScamShield_Model!$D$11*ScamShield_Model!$D$53-ScamShield_Model!$D$45</f>
        <v>-4405570.84158508</v>
      </c>
      <c r="D16" s="32" t="n">
        <f aca="false">ScamShield_Model!$D$6*D$15*ScamShield_Model!$D$9*($A16*ScamShield_Model!$D$10-ScamShield_Model!$D$12*ScamShield_Model!$D$42)-ScamShield_Model!$D$6*(1-D$15)*ScamShield_Model!$D$11*ScamShield_Model!$D$53-ScamShield_Model!$D$45</f>
        <v>-3788373.97799534</v>
      </c>
      <c r="E16" s="32" t="n">
        <f aca="false">ScamShield_Model!$D$6*E$15*ScamShield_Model!$D$9*($A16*ScamShield_Model!$D$10-ScamShield_Model!$D$12*ScamShield_Model!$D$42)-ScamShield_Model!$D$6*(1-E$15)*ScamShield_Model!$D$11*ScamShield_Model!$D$53-ScamShield_Model!$D$45</f>
        <v>-1936783.38722611</v>
      </c>
      <c r="F16" s="32" t="n">
        <f aca="false">ScamShield_Model!$D$6*F$15*ScamShield_Model!$D$9*($A16*ScamShield_Model!$D$10-ScamShield_Model!$D$12*ScamShield_Model!$D$42)-ScamShield_Model!$D$6*(1-F$15)*ScamShield_Model!$D$11*ScamShield_Model!$D$53-ScamShield_Model!$D$45</f>
        <v>532004.067132867</v>
      </c>
    </row>
    <row r="17" customFormat="false" ht="15" hidden="false" customHeight="false" outlineLevel="0" collapsed="false">
      <c r="A17" s="11" t="n">
        <v>4000</v>
      </c>
      <c r="B17" s="32" t="n">
        <f aca="false">ScamShield_Model!$D$6*B$15*ScamShield_Model!$D$9*($A17*ScamShield_Model!$D$10-ScamShield_Model!$D$12*ScamShield_Model!$D$42)-ScamShield_Model!$D$6*(1-B$15)*ScamShield_Model!$D$11*ScamShield_Model!$D$53-ScamShield_Model!$D$45</f>
        <v>-4396967.70517483</v>
      </c>
      <c r="C17" s="32" t="n">
        <f aca="false">ScamShield_Model!$D$6*C$15*ScamShield_Model!$D$9*($A17*ScamShield_Model!$D$10-ScamShield_Model!$D$12*ScamShield_Model!$D$42)-ScamShield_Model!$D$6*(1-C$15)*ScamShield_Model!$D$11*ScamShield_Model!$D$53-ScamShield_Model!$D$45</f>
        <v>-3153970.84158508</v>
      </c>
      <c r="D17" s="32" t="n">
        <f aca="false">ScamShield_Model!$D$6*D$15*ScamShield_Model!$D$9*($A17*ScamShield_Model!$D$10-ScamShield_Model!$D$12*ScamShield_Model!$D$42)-ScamShield_Model!$D$6*(1-D$15)*ScamShield_Model!$D$11*ScamShield_Model!$D$53-ScamShield_Model!$D$45</f>
        <v>-1910973.97799534</v>
      </c>
      <c r="E17" s="32" t="n">
        <f aca="false">ScamShield_Model!$D$6*E$15*ScamShield_Model!$D$9*($A17*ScamShield_Model!$D$10-ScamShield_Model!$D$12*ScamShield_Model!$D$42)-ScamShield_Model!$D$6*(1-E$15)*ScamShield_Model!$D$11*ScamShield_Model!$D$53-ScamShield_Model!$D$45</f>
        <v>1818016.61277389</v>
      </c>
      <c r="F17" s="32" t="n">
        <f aca="false">ScamShield_Model!$D$6*F$15*ScamShield_Model!$D$9*($A17*ScamShield_Model!$D$10-ScamShield_Model!$D$12*ScamShield_Model!$D$42)-ScamShield_Model!$D$6*(1-F$15)*ScamShield_Model!$D$11*ScamShield_Model!$D$53-ScamShield_Model!$D$45</f>
        <v>6790004.06713287</v>
      </c>
    </row>
    <row r="18" customFormat="false" ht="15" hidden="false" customHeight="false" outlineLevel="0" collapsed="false">
      <c r="A18" s="11" t="n">
        <v>6000</v>
      </c>
      <c r="B18" s="32" t="n">
        <f aca="false">ScamShield_Model!$D$6*B$15*ScamShield_Model!$D$9*($A18*ScamShield_Model!$D$10-ScamShield_Model!$D$12*ScamShield_Model!$D$42)-ScamShield_Model!$D$6*(1-B$15)*ScamShield_Model!$D$11*ScamShield_Model!$D$53-ScamShield_Model!$D$45</f>
        <v>-3771167.70517483</v>
      </c>
      <c r="C18" s="32" t="n">
        <f aca="false">ScamShield_Model!$D$6*C$15*ScamShield_Model!$D$9*($A18*ScamShield_Model!$D$10-ScamShield_Model!$D$12*ScamShield_Model!$D$42)-ScamShield_Model!$D$6*(1-C$15)*ScamShield_Model!$D$11*ScamShield_Model!$D$53-ScamShield_Model!$D$45</f>
        <v>-1902370.84158508</v>
      </c>
      <c r="D18" s="32" t="n">
        <f aca="false">ScamShield_Model!$D$6*D$15*ScamShield_Model!$D$9*($A18*ScamShield_Model!$D$10-ScamShield_Model!$D$12*ScamShield_Model!$D$42)-ScamShield_Model!$D$6*(1-D$15)*ScamShield_Model!$D$11*ScamShield_Model!$D$53-ScamShield_Model!$D$45</f>
        <v>-33573.9779953389</v>
      </c>
      <c r="E18" s="32" t="n">
        <f aca="false">ScamShield_Model!$D$6*E$15*ScamShield_Model!$D$9*($A18*ScamShield_Model!$D$10-ScamShield_Model!$D$12*ScamShield_Model!$D$42)-ScamShield_Model!$D$6*(1-E$15)*ScamShield_Model!$D$11*ScamShield_Model!$D$53-ScamShield_Model!$D$45</f>
        <v>5572816.61277389</v>
      </c>
      <c r="F18" s="32" t="n">
        <f aca="false">ScamShield_Model!$D$6*F$15*ScamShield_Model!$D$9*($A18*ScamShield_Model!$D$10-ScamShield_Model!$D$12*ScamShield_Model!$D$42)-ScamShield_Model!$D$6*(1-F$15)*ScamShield_Model!$D$11*ScamShield_Model!$D$53-ScamShield_Model!$D$45</f>
        <v>13048004.0671329</v>
      </c>
    </row>
    <row r="19" customFormat="false" ht="15" hidden="false" customHeight="false" outlineLevel="0" collapsed="false">
      <c r="A19" s="11" t="n">
        <v>10000</v>
      </c>
      <c r="B19" s="32" t="n">
        <f aca="false">ScamShield_Model!$D$6*B$15*ScamShield_Model!$D$9*($A19*ScamShield_Model!$D$10-ScamShield_Model!$D$12*ScamShield_Model!$D$42)-ScamShield_Model!$D$6*(1-B$15)*ScamShield_Model!$D$11*ScamShield_Model!$D$53-ScamShield_Model!$D$45</f>
        <v>-2519567.70517483</v>
      </c>
      <c r="C19" s="32" t="n">
        <f aca="false">ScamShield_Model!$D$6*C$15*ScamShield_Model!$D$9*($A19*ScamShield_Model!$D$10-ScamShield_Model!$D$12*ScamShield_Model!$D$42)-ScamShield_Model!$D$6*(1-C$15)*ScamShield_Model!$D$11*ScamShield_Model!$D$53-ScamShield_Model!$D$45</f>
        <v>600829.158414918</v>
      </c>
      <c r="D19" s="32" t="n">
        <f aca="false">ScamShield_Model!$D$6*D$15*ScamShield_Model!$D$9*($A19*ScamShield_Model!$D$10-ScamShield_Model!$D$12*ScamShield_Model!$D$42)-ScamShield_Model!$D$6*(1-D$15)*ScamShield_Model!$D$11*ScamShield_Model!$D$53-ScamShield_Model!$D$45</f>
        <v>3721226.02200466</v>
      </c>
      <c r="E19" s="32" t="n">
        <f aca="false">ScamShield_Model!$D$6*E$15*ScamShield_Model!$D$9*($A19*ScamShield_Model!$D$10-ScamShield_Model!$D$12*ScamShield_Model!$D$42)-ScamShield_Model!$D$6*(1-E$15)*ScamShield_Model!$D$11*ScamShield_Model!$D$53-ScamShield_Model!$D$45</f>
        <v>13082416.6127739</v>
      </c>
      <c r="F19" s="32" t="n">
        <f aca="false">ScamShield_Model!$D$6*F$15*ScamShield_Model!$D$9*($A19*ScamShield_Model!$D$10-ScamShield_Model!$D$12*ScamShield_Model!$D$42)-ScamShield_Model!$D$6*(1-F$15)*ScamShield_Model!$D$11*ScamShield_Model!$D$53-ScamShield_Model!$D$45</f>
        <v>25564004.0671329</v>
      </c>
    </row>
    <row r="20" customFormat="false" ht="15" hidden="false" customHeight="false" outlineLevel="0" collapsed="false">
      <c r="A20" s="11" t="n">
        <v>15000</v>
      </c>
      <c r="B20" s="32" t="n">
        <f aca="false">ScamShield_Model!$D$6*B$15*ScamShield_Model!$D$9*($A20*ScamShield_Model!$D$10-ScamShield_Model!$D$12*ScamShield_Model!$D$42)-ScamShield_Model!$D$6*(1-B$15)*ScamShield_Model!$D$11*ScamShield_Model!$D$53-ScamShield_Model!$D$45</f>
        <v>-955067.705174825</v>
      </c>
      <c r="C20" s="32" t="n">
        <f aca="false">ScamShield_Model!$D$6*C$15*ScamShield_Model!$D$9*($A20*ScamShield_Model!$D$10-ScamShield_Model!$D$12*ScamShield_Model!$D$42)-ScamShield_Model!$D$6*(1-C$15)*ScamShield_Model!$D$11*ScamShield_Model!$D$53-ScamShield_Model!$D$45</f>
        <v>3729829.15841492</v>
      </c>
      <c r="D20" s="32" t="n">
        <f aca="false">ScamShield_Model!$D$6*D$15*ScamShield_Model!$D$9*($A20*ScamShield_Model!$D$10-ScamShield_Model!$D$12*ScamShield_Model!$D$42)-ScamShield_Model!$D$6*(1-D$15)*ScamShield_Model!$D$11*ScamShield_Model!$D$53-ScamShield_Model!$D$45</f>
        <v>8414726.02200466</v>
      </c>
      <c r="E20" s="32" t="n">
        <f aca="false">ScamShield_Model!$D$6*E$15*ScamShield_Model!$D$9*($A20*ScamShield_Model!$D$10-ScamShield_Model!$D$12*ScamShield_Model!$D$42)-ScamShield_Model!$D$6*(1-E$15)*ScamShield_Model!$D$11*ScamShield_Model!$D$53-ScamShield_Model!$D$45</f>
        <v>22469416.6127739</v>
      </c>
      <c r="F20" s="32" t="n">
        <f aca="false">ScamShield_Model!$D$6*F$15*ScamShield_Model!$D$9*($A20*ScamShield_Model!$D$10-ScamShield_Model!$D$12*ScamShield_Model!$D$42)-ScamShield_Model!$D$6*(1-F$15)*ScamShield_Model!$D$11*ScamShield_Model!$D$53-ScamShield_Model!$D$45</f>
        <v>41209004.0671329</v>
      </c>
    </row>
    <row r="22" customFormat="false" ht="15" hidden="false" customHeight="false" outlineLevel="0" collapsed="false">
      <c r="A22" s="36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5" min="4" style="0" width="54"/>
    <col collapsed="false" customWidth="true" hidden="false" outlineLevel="0" max="7" min="6" style="0" width="40"/>
    <col collapsed="false" customWidth="true" hidden="false" outlineLevel="0" max="13" min="8" style="0" width="14"/>
  </cols>
  <sheetData>
    <row r="1" customFormat="false" ht="17.35" hidden="false" customHeight="false" outlineLevel="0" collapsed="false">
      <c r="A1" s="1" t="s">
        <v>221</v>
      </c>
    </row>
    <row r="2" customFormat="false" ht="15" hidden="false" customHeight="false" outlineLevel="0" collapsed="false">
      <c r="A2" s="9" t="s">
        <v>222</v>
      </c>
    </row>
    <row r="4" customFormat="false" ht="23.85" hidden="false" customHeight="false" outlineLevel="0" collapsed="false">
      <c r="A4" s="10" t="s">
        <v>223</v>
      </c>
      <c r="B4" s="10" t="s">
        <v>34</v>
      </c>
      <c r="C4" s="10" t="s">
        <v>224</v>
      </c>
      <c r="D4" s="10" t="s">
        <v>225</v>
      </c>
      <c r="E4" s="10" t="s">
        <v>226</v>
      </c>
      <c r="F4" s="10" t="s">
        <v>227</v>
      </c>
      <c r="G4" s="10" t="s">
        <v>228</v>
      </c>
      <c r="H4" s="10" t="s">
        <v>229</v>
      </c>
      <c r="I4" s="10" t="s">
        <v>230</v>
      </c>
      <c r="J4" s="10" t="s">
        <v>231</v>
      </c>
      <c r="K4" s="10" t="s">
        <v>232</v>
      </c>
      <c r="L4" s="10" t="s">
        <v>233</v>
      </c>
      <c r="M4" s="10" t="s">
        <v>38</v>
      </c>
    </row>
    <row r="5" customFormat="false" ht="91.5" hidden="false" customHeight="true" outlineLevel="0" collapsed="false">
      <c r="A5" s="2" t="s">
        <v>234</v>
      </c>
      <c r="B5" s="3" t="s">
        <v>235</v>
      </c>
      <c r="C5" s="7" t="s">
        <v>236</v>
      </c>
      <c r="D5" s="3" t="s">
        <v>237</v>
      </c>
      <c r="E5" s="3" t="s">
        <v>238</v>
      </c>
      <c r="F5" s="3" t="s">
        <v>239</v>
      </c>
      <c r="G5" s="3" t="s">
        <v>240</v>
      </c>
      <c r="H5" s="37" t="n">
        <v>24</v>
      </c>
      <c r="I5" s="37" t="n">
        <v>16</v>
      </c>
      <c r="J5" s="38" t="n">
        <v>-0.2</v>
      </c>
      <c r="K5" s="39" t="n">
        <f aca="false">IF(H5=0,0,I5/H5-1)</f>
        <v>-0.333333333333333</v>
      </c>
      <c r="L5" s="40" t="b">
        <f aca="false">IF(C5="higher",K5&gt;=J5,K5&lt;=J5)</f>
        <v>1</v>
      </c>
      <c r="M5" s="41" t="s">
        <v>241</v>
      </c>
    </row>
    <row r="6" customFormat="false" ht="91.5" hidden="false" customHeight="true" outlineLevel="0" collapsed="false">
      <c r="A6" s="2" t="s">
        <v>242</v>
      </c>
      <c r="B6" s="3" t="s">
        <v>243</v>
      </c>
      <c r="C6" s="7" t="s">
        <v>244</v>
      </c>
      <c r="D6" s="3" t="s">
        <v>245</v>
      </c>
      <c r="E6" s="3" t="s">
        <v>246</v>
      </c>
      <c r="F6" s="3" t="s">
        <v>247</v>
      </c>
      <c r="G6" s="3" t="s">
        <v>248</v>
      </c>
      <c r="H6" s="37" t="n">
        <v>310</v>
      </c>
      <c r="I6" s="37" t="n">
        <v>325</v>
      </c>
      <c r="J6" s="38" t="n">
        <v>0.03</v>
      </c>
      <c r="K6" s="39" t="n">
        <f aca="false">IF(H6=0,0,I6/H6-1)</f>
        <v>0.0483870967741935</v>
      </c>
      <c r="L6" s="40" t="b">
        <f aca="false">IF(C6="higher",K6&gt;=J6,K6&lt;=J6)</f>
        <v>1</v>
      </c>
      <c r="M6" s="41" t="s">
        <v>241</v>
      </c>
    </row>
    <row r="7" customFormat="false" ht="91.5" hidden="false" customHeight="true" outlineLevel="0" collapsed="false">
      <c r="A7" s="2" t="s">
        <v>249</v>
      </c>
      <c r="B7" s="3" t="s">
        <v>250</v>
      </c>
      <c r="C7" s="7" t="s">
        <v>236</v>
      </c>
      <c r="D7" s="3" t="s">
        <v>251</v>
      </c>
      <c r="E7" s="3" t="s">
        <v>252</v>
      </c>
      <c r="F7" s="3" t="s">
        <v>253</v>
      </c>
      <c r="G7" s="3" t="s">
        <v>254</v>
      </c>
      <c r="H7" s="37" t="n">
        <v>60000</v>
      </c>
      <c r="I7" s="37" t="n">
        <v>52000</v>
      </c>
      <c r="J7" s="38" t="n">
        <v>-0.1</v>
      </c>
      <c r="K7" s="39" t="n">
        <f aca="false">IF(H7=0,0,I7/H7-1)</f>
        <v>-0.133333333333333</v>
      </c>
      <c r="L7" s="40" t="b">
        <f aca="false">IF(C7="higher",K7&gt;=J7,K7&lt;=J7)</f>
        <v>1</v>
      </c>
      <c r="M7" s="41" t="s">
        <v>241</v>
      </c>
    </row>
    <row r="8" customFormat="false" ht="91.5" hidden="false" customHeight="true" outlineLevel="0" collapsed="false">
      <c r="A8" s="2" t="s">
        <v>255</v>
      </c>
      <c r="B8" s="3" t="s">
        <v>256</v>
      </c>
      <c r="C8" s="7" t="s">
        <v>236</v>
      </c>
      <c r="D8" s="3" t="s">
        <v>257</v>
      </c>
      <c r="E8" s="3" t="s">
        <v>258</v>
      </c>
      <c r="F8" s="3" t="s">
        <v>259</v>
      </c>
      <c r="G8" s="3" t="s">
        <v>260</v>
      </c>
      <c r="H8" s="37" t="n">
        <v>12256</v>
      </c>
      <c r="I8" s="37" t="n">
        <v>10662</v>
      </c>
      <c r="J8" s="38" t="n">
        <v>-0.1</v>
      </c>
      <c r="K8" s="39" t="n">
        <f aca="false">IF(H8=0,0,I8/H8-1)</f>
        <v>-0.130058746736292</v>
      </c>
      <c r="L8" s="40" t="b">
        <f aca="false">IF(C8="higher",K8&gt;=J8,K8&lt;=J8)</f>
        <v>1</v>
      </c>
      <c r="M8" s="41" t="s">
        <v>241</v>
      </c>
    </row>
    <row r="9" customFormat="false" ht="91.5" hidden="false" customHeight="true" outlineLevel="0" collapsed="false">
      <c r="A9" s="2" t="s">
        <v>261</v>
      </c>
      <c r="B9" s="3" t="s">
        <v>262</v>
      </c>
      <c r="C9" s="7" t="s">
        <v>244</v>
      </c>
      <c r="D9" s="3" t="s">
        <v>263</v>
      </c>
      <c r="E9" s="3" t="s">
        <v>264</v>
      </c>
      <c r="F9" s="3" t="s">
        <v>265</v>
      </c>
      <c r="G9" s="3" t="s">
        <v>266</v>
      </c>
      <c r="H9" s="42" t="n">
        <v>0.3</v>
      </c>
      <c r="I9" s="42" t="n">
        <v>0.45</v>
      </c>
      <c r="J9" s="38" t="n">
        <v>0.1</v>
      </c>
      <c r="K9" s="43" t="n">
        <f aca="false">I9-H9</f>
        <v>0.15</v>
      </c>
      <c r="L9" s="40" t="b">
        <f aca="false">IF(C9="higher",K9&gt;=J9,K9&lt;=J9)</f>
        <v>1</v>
      </c>
      <c r="M9" s="41" t="s">
        <v>241</v>
      </c>
    </row>
    <row r="11" customFormat="false" ht="15" hidden="false" customHeight="false" outlineLevel="0" collapsed="false">
      <c r="A11" s="34" t="s">
        <v>267</v>
      </c>
    </row>
    <row r="12" customFormat="false" ht="15" hidden="false" customHeight="false" outlineLevel="0" collapsed="false">
      <c r="A12" s="36" t="s">
        <v>268</v>
      </c>
    </row>
    <row r="13" customFormat="false" ht="15" hidden="false" customHeight="false" outlineLevel="0" collapsed="false">
      <c r="A13" s="36" t="s">
        <v>269</v>
      </c>
    </row>
    <row r="14" customFormat="false" ht="15" hidden="false" customHeight="false" outlineLevel="0" collapsed="false">
      <c r="A14" s="36" t="s">
        <v>270</v>
      </c>
    </row>
    <row r="15" customFormat="false" ht="15" hidden="false" customHeight="false" outlineLevel="0" collapsed="false">
      <c r="A15" s="36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70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9" t="s">
        <v>273</v>
      </c>
    </row>
    <row r="4" customFormat="false" ht="15" hidden="false" customHeight="false" outlineLevel="0" collapsed="false">
      <c r="A4" s="34" t="s">
        <v>274</v>
      </c>
    </row>
    <row r="5" customFormat="false" ht="15" hidden="false" customHeight="true" outlineLevel="0" collapsed="false">
      <c r="A5" s="10" t="s">
        <v>275</v>
      </c>
      <c r="B5" s="10" t="s">
        <v>276</v>
      </c>
      <c r="C5" s="10"/>
      <c r="D5" s="10"/>
      <c r="E5" s="10"/>
    </row>
    <row r="6" customFormat="false" ht="45.75" hidden="false" customHeight="true" outlineLevel="0" collapsed="false">
      <c r="A6" s="2" t="s">
        <v>277</v>
      </c>
      <c r="B6" s="44" t="s">
        <v>278</v>
      </c>
      <c r="C6" s="44"/>
      <c r="D6" s="44"/>
      <c r="E6" s="44"/>
    </row>
    <row r="7" customFormat="false" ht="45.75" hidden="false" customHeight="true" outlineLevel="0" collapsed="false">
      <c r="A7" s="2" t="s">
        <v>279</v>
      </c>
      <c r="B7" s="44" t="s">
        <v>280</v>
      </c>
      <c r="C7" s="44"/>
      <c r="D7" s="44"/>
      <c r="E7" s="44"/>
    </row>
    <row r="8" customFormat="false" ht="45.75" hidden="false" customHeight="true" outlineLevel="0" collapsed="false">
      <c r="A8" s="2" t="s">
        <v>281</v>
      </c>
      <c r="B8" s="44" t="s">
        <v>282</v>
      </c>
      <c r="C8" s="44"/>
      <c r="D8" s="44"/>
      <c r="E8" s="44"/>
    </row>
    <row r="9" customFormat="false" ht="45.75" hidden="false" customHeight="true" outlineLevel="0" collapsed="false">
      <c r="A9" s="2" t="s">
        <v>283</v>
      </c>
      <c r="B9" s="44" t="s">
        <v>284</v>
      </c>
      <c r="C9" s="44"/>
      <c r="D9" s="44"/>
      <c r="E9" s="44"/>
    </row>
    <row r="10" customFormat="false" ht="45.75" hidden="false" customHeight="true" outlineLevel="0" collapsed="false">
      <c r="A10" s="2" t="s">
        <v>285</v>
      </c>
      <c r="B10" s="44" t="s">
        <v>286</v>
      </c>
      <c r="C10" s="44"/>
      <c r="D10" s="44"/>
      <c r="E10" s="44"/>
    </row>
    <row r="11" customFormat="false" ht="45.75" hidden="false" customHeight="true" outlineLevel="0" collapsed="false">
      <c r="A11" s="2" t="s">
        <v>287</v>
      </c>
      <c r="B11" s="44" t="s">
        <v>288</v>
      </c>
      <c r="C11" s="44"/>
      <c r="D11" s="44"/>
      <c r="E11" s="44"/>
    </row>
    <row r="12" customFormat="false" ht="45.75" hidden="false" customHeight="true" outlineLevel="0" collapsed="false">
      <c r="A12" s="2" t="s">
        <v>289</v>
      </c>
      <c r="B12" s="44" t="s">
        <v>290</v>
      </c>
      <c r="C12" s="44"/>
      <c r="D12" s="44"/>
      <c r="E12" s="44"/>
    </row>
    <row r="13" customFormat="false" ht="45.75" hidden="false" customHeight="true" outlineLevel="0" collapsed="false">
      <c r="A13" s="2" t="s">
        <v>291</v>
      </c>
      <c r="B13" s="44" t="s">
        <v>292</v>
      </c>
      <c r="C13" s="44"/>
      <c r="D13" s="44"/>
      <c r="E13" s="44"/>
    </row>
    <row r="14" customFormat="false" ht="45.75" hidden="false" customHeight="true" outlineLevel="0" collapsed="false">
      <c r="A14" s="2" t="s">
        <v>293</v>
      </c>
      <c r="B14" s="44" t="s">
        <v>294</v>
      </c>
      <c r="C14" s="44"/>
      <c r="D14" s="44"/>
      <c r="E14" s="44"/>
    </row>
    <row r="15" customFormat="false" ht="45.75" hidden="false" customHeight="true" outlineLevel="0" collapsed="false">
      <c r="A15" s="2" t="s">
        <v>295</v>
      </c>
      <c r="B15" s="44" t="s">
        <v>296</v>
      </c>
      <c r="C15" s="44"/>
      <c r="D15" s="44"/>
      <c r="E15" s="44"/>
    </row>
    <row r="16" customFormat="false" ht="45.75" hidden="false" customHeight="true" outlineLevel="0" collapsed="false">
      <c r="A16" s="2" t="s">
        <v>297</v>
      </c>
      <c r="B16" s="44" t="s">
        <v>298</v>
      </c>
      <c r="C16" s="44"/>
      <c r="D16" s="44"/>
      <c r="E16" s="44"/>
    </row>
    <row r="17" customFormat="false" ht="45.75" hidden="false" customHeight="true" outlineLevel="0" collapsed="false">
      <c r="A17" s="2" t="s">
        <v>299</v>
      </c>
      <c r="B17" s="44" t="s">
        <v>300</v>
      </c>
      <c r="C17" s="44"/>
      <c r="D17" s="44"/>
      <c r="E17" s="44"/>
    </row>
    <row r="18" customFormat="false" ht="45.75" hidden="false" customHeight="true" outlineLevel="0" collapsed="false">
      <c r="A18" s="2" t="s">
        <v>301</v>
      </c>
      <c r="B18" s="44" t="s">
        <v>302</v>
      </c>
      <c r="C18" s="44"/>
      <c r="D18" s="44"/>
      <c r="E18" s="44"/>
    </row>
    <row r="20" customFormat="false" ht="15" hidden="false" customHeight="false" outlineLevel="0" collapsed="false">
      <c r="A20" s="34" t="s">
        <v>303</v>
      </c>
    </row>
    <row r="21" customFormat="false" ht="15" hidden="false" customHeight="false" outlineLevel="0" collapsed="false">
      <c r="A21" s="10" t="s">
        <v>304</v>
      </c>
      <c r="B21" s="10" t="s">
        <v>305</v>
      </c>
      <c r="C21" s="10" t="s">
        <v>34</v>
      </c>
      <c r="D21" s="10" t="s">
        <v>38</v>
      </c>
      <c r="E21" s="10" t="s">
        <v>306</v>
      </c>
      <c r="F21" s="10" t="s">
        <v>307</v>
      </c>
    </row>
    <row r="22" customFormat="false" ht="51.75" hidden="false" customHeight="true" outlineLevel="0" collapsed="false">
      <c r="A22" s="3" t="s">
        <v>308</v>
      </c>
      <c r="B22" s="35" t="n">
        <v>0.05</v>
      </c>
      <c r="C22" s="3" t="s">
        <v>51</v>
      </c>
      <c r="D22" s="2" t="s">
        <v>309</v>
      </c>
      <c r="E22" s="3" t="s">
        <v>310</v>
      </c>
      <c r="F22" s="3" t="s">
        <v>311</v>
      </c>
    </row>
    <row r="23" customFormat="false" ht="51.75" hidden="false" customHeight="true" outlineLevel="0" collapsed="false">
      <c r="A23" s="3" t="s">
        <v>312</v>
      </c>
      <c r="B23" s="35" t="n">
        <v>0.8</v>
      </c>
      <c r="C23" s="3" t="s">
        <v>51</v>
      </c>
      <c r="D23" s="2" t="s">
        <v>309</v>
      </c>
      <c r="E23" s="3" t="s">
        <v>313</v>
      </c>
      <c r="F23" s="3" t="s">
        <v>314</v>
      </c>
    </row>
    <row r="24" customFormat="false" ht="51.75" hidden="false" customHeight="true" outlineLevel="0" collapsed="false">
      <c r="A24" s="3" t="s">
        <v>315</v>
      </c>
      <c r="B24" s="37" t="n">
        <v>19</v>
      </c>
      <c r="C24" s="3" t="s">
        <v>56</v>
      </c>
      <c r="D24" s="2" t="s">
        <v>62</v>
      </c>
      <c r="E24" s="3" t="s">
        <v>316</v>
      </c>
      <c r="F24" s="3" t="s">
        <v>317</v>
      </c>
    </row>
    <row r="25" customFormat="false" ht="51.75" hidden="false" customHeight="true" outlineLevel="0" collapsed="false">
      <c r="A25" s="3" t="s">
        <v>318</v>
      </c>
      <c r="B25" s="37" t="n">
        <v>2</v>
      </c>
      <c r="C25" s="3" t="s">
        <v>56</v>
      </c>
      <c r="D25" s="3" t="s">
        <v>45</v>
      </c>
      <c r="E25" s="3" t="s">
        <v>319</v>
      </c>
      <c r="F25" s="3" t="s">
        <v>320</v>
      </c>
    </row>
    <row r="26" customFormat="false" ht="51.75" hidden="false" customHeight="true" outlineLevel="0" collapsed="false">
      <c r="A26" s="3" t="s">
        <v>321</v>
      </c>
      <c r="B26" s="35" t="n">
        <v>0.5</v>
      </c>
      <c r="C26" s="3" t="s">
        <v>51</v>
      </c>
      <c r="D26" s="3" t="s">
        <v>45</v>
      </c>
      <c r="E26" s="3" t="s">
        <v>322</v>
      </c>
      <c r="F26" s="3" t="s">
        <v>323</v>
      </c>
    </row>
    <row r="27" customFormat="false" ht="51.75" hidden="false" customHeight="true" outlineLevel="0" collapsed="false">
      <c r="A27" s="3" t="s">
        <v>324</v>
      </c>
      <c r="B27" s="35" t="n">
        <v>0.1</v>
      </c>
      <c r="C27" s="3" t="s">
        <v>51</v>
      </c>
      <c r="D27" s="3" t="s">
        <v>45</v>
      </c>
      <c r="E27" s="3" t="s">
        <v>325</v>
      </c>
      <c r="F27" s="3" t="s">
        <v>326</v>
      </c>
    </row>
    <row r="28" customFormat="false" ht="51.75" hidden="false" customHeight="true" outlineLevel="0" collapsed="false">
      <c r="A28" s="3" t="s">
        <v>327</v>
      </c>
      <c r="B28" s="11" t="n">
        <v>50000</v>
      </c>
      <c r="C28" s="3" t="s">
        <v>328</v>
      </c>
      <c r="D28" s="3" t="s">
        <v>45</v>
      </c>
      <c r="E28" s="3" t="s">
        <v>329</v>
      </c>
      <c r="F28" s="3" t="s">
        <v>330</v>
      </c>
    </row>
    <row r="29" customFormat="false" ht="51.75" hidden="false" customHeight="true" outlineLevel="0" collapsed="false">
      <c r="A29" s="3" t="s">
        <v>331</v>
      </c>
      <c r="B29" s="11" t="n">
        <v>8</v>
      </c>
      <c r="C29" s="3" t="s">
        <v>332</v>
      </c>
      <c r="D29" s="3" t="s">
        <v>45</v>
      </c>
      <c r="E29" s="3" t="s">
        <v>333</v>
      </c>
      <c r="F29" s="3" t="s">
        <v>326</v>
      </c>
    </row>
    <row r="30" customFormat="false" ht="51.75" hidden="false" customHeight="true" outlineLevel="0" collapsed="false">
      <c r="A30" s="3" t="s">
        <v>334</v>
      </c>
      <c r="B30" s="35" t="n">
        <v>0.014</v>
      </c>
      <c r="C30" s="3" t="s">
        <v>335</v>
      </c>
      <c r="D30" s="3" t="s">
        <v>45</v>
      </c>
      <c r="E30" s="3" t="s">
        <v>336</v>
      </c>
      <c r="F30" s="3" t="s">
        <v>337</v>
      </c>
    </row>
    <row r="31" customFormat="false" ht="51.75" hidden="false" customHeight="true" outlineLevel="0" collapsed="false">
      <c r="A31" s="3" t="s">
        <v>338</v>
      </c>
      <c r="B31" s="35" t="n">
        <v>0</v>
      </c>
      <c r="C31" s="3" t="s">
        <v>335</v>
      </c>
      <c r="D31" s="3" t="s">
        <v>45</v>
      </c>
      <c r="E31" s="3" t="s">
        <v>339</v>
      </c>
      <c r="F31" s="3" t="s">
        <v>337</v>
      </c>
    </row>
    <row r="32" customFormat="false" ht="51.75" hidden="false" customHeight="true" outlineLevel="0" collapsed="false">
      <c r="A32" s="3" t="s">
        <v>340</v>
      </c>
      <c r="B32" s="35" t="n">
        <v>0.005</v>
      </c>
      <c r="C32" s="3" t="s">
        <v>335</v>
      </c>
      <c r="D32" s="3" t="s">
        <v>45</v>
      </c>
      <c r="E32" s="3" t="s">
        <v>341</v>
      </c>
      <c r="F32" s="3" t="s">
        <v>122</v>
      </c>
    </row>
    <row r="33" customFormat="false" ht="51.75" hidden="false" customHeight="true" outlineLevel="0" collapsed="false">
      <c r="A33" s="3" t="s">
        <v>342</v>
      </c>
      <c r="B33" s="11" t="n">
        <v>1500</v>
      </c>
      <c r="C33" s="3" t="s">
        <v>56</v>
      </c>
      <c r="D33" s="3" t="s">
        <v>45</v>
      </c>
      <c r="E33" s="3" t="s">
        <v>343</v>
      </c>
      <c r="F33" s="3" t="s">
        <v>337</v>
      </c>
    </row>
    <row r="34" customFormat="false" ht="15" hidden="false" customHeight="false" outlineLevel="0" collapsed="false">
      <c r="A34" s="7" t="s">
        <v>344</v>
      </c>
      <c r="B34" s="45" t="n">
        <f aca="false">NORMSINV(1-$B$22/2)+NORMSINV($B$23)</f>
        <v>2.80158521811297</v>
      </c>
    </row>
    <row r="35" customFormat="false" ht="15" hidden="false" customHeight="false" outlineLevel="0" collapsed="false">
      <c r="A35" s="5" t="s">
        <v>345</v>
      </c>
      <c r="B35" s="25" t="n">
        <f aca="false">ROUNDUP(2*B34^2*$B$24^2*(1-$B$26^2)/$B$25^2,0)</f>
        <v>1063</v>
      </c>
      <c r="E35" s="3" t="s">
        <v>346</v>
      </c>
    </row>
    <row r="36" customFormat="false" ht="15" hidden="false" customHeight="false" outlineLevel="0" collapsed="false">
      <c r="A36" s="5" t="s">
        <v>347</v>
      </c>
      <c r="B36" s="25" t="n">
        <f aca="false">ROUNDUP(2*B35/(1-$B$27),0)</f>
        <v>2363</v>
      </c>
    </row>
    <row r="37" customFormat="false" ht="15" hidden="false" customHeight="false" outlineLevel="0" collapsed="false">
      <c r="A37" s="5" t="s">
        <v>348</v>
      </c>
      <c r="B37" s="7" t="str">
        <f aca="false">IF($B$28&gt;=B36,"yes","no: raise MDE, extend duration or widen eligibility")</f>
        <v>yes</v>
      </c>
    </row>
    <row r="39" customFormat="false" ht="15" hidden="false" customHeight="false" outlineLevel="0" collapsed="false">
      <c r="A39" s="34" t="s">
        <v>349</v>
      </c>
    </row>
    <row r="40" customFormat="false" ht="15" hidden="false" customHeight="false" outlineLevel="0" collapsed="false">
      <c r="A40" s="10" t="s">
        <v>350</v>
      </c>
      <c r="B40" s="10" t="s">
        <v>305</v>
      </c>
      <c r="C40" s="10" t="s">
        <v>34</v>
      </c>
      <c r="D40" s="10" t="s">
        <v>38</v>
      </c>
      <c r="E40" s="10" t="s">
        <v>351</v>
      </c>
    </row>
    <row r="41" customFormat="false" ht="30" hidden="false" customHeight="true" outlineLevel="0" collapsed="false">
      <c r="A41" s="3" t="s">
        <v>352</v>
      </c>
      <c r="B41" s="37" t="n">
        <v>1100</v>
      </c>
      <c r="C41" s="7" t="s">
        <v>328</v>
      </c>
      <c r="D41" s="41" t="s">
        <v>241</v>
      </c>
      <c r="E41" s="3" t="s">
        <v>353</v>
      </c>
    </row>
    <row r="42" customFormat="false" ht="30" hidden="false" customHeight="true" outlineLevel="0" collapsed="false">
      <c r="A42" s="3" t="s">
        <v>354</v>
      </c>
      <c r="B42" s="37" t="n">
        <v>1090</v>
      </c>
      <c r="C42" s="7" t="s">
        <v>328</v>
      </c>
      <c r="D42" s="41" t="s">
        <v>241</v>
      </c>
      <c r="E42" s="3" t="s">
        <v>353</v>
      </c>
    </row>
    <row r="43" customFormat="false" ht="30" hidden="false" customHeight="true" outlineLevel="0" collapsed="false">
      <c r="A43" s="3" t="s">
        <v>355</v>
      </c>
      <c r="B43" s="37" t="n">
        <v>27</v>
      </c>
      <c r="C43" s="7" t="s">
        <v>56</v>
      </c>
      <c r="D43" s="41" t="s">
        <v>241</v>
      </c>
      <c r="E43" s="3" t="s">
        <v>356</v>
      </c>
    </row>
    <row r="44" customFormat="false" ht="30" hidden="false" customHeight="true" outlineLevel="0" collapsed="false">
      <c r="A44" s="3" t="s">
        <v>357</v>
      </c>
      <c r="B44" s="37" t="n">
        <v>29</v>
      </c>
      <c r="C44" s="7" t="s">
        <v>56</v>
      </c>
      <c r="D44" s="41" t="s">
        <v>241</v>
      </c>
      <c r="E44" s="3" t="s">
        <v>358</v>
      </c>
    </row>
    <row r="45" customFormat="false" ht="30" hidden="false" customHeight="true" outlineLevel="0" collapsed="false">
      <c r="A45" s="3" t="s">
        <v>359</v>
      </c>
      <c r="B45" s="37" t="n">
        <v>19</v>
      </c>
      <c r="C45" s="7" t="s">
        <v>56</v>
      </c>
      <c r="D45" s="41" t="s">
        <v>241</v>
      </c>
      <c r="E45" s="3" t="s">
        <v>360</v>
      </c>
    </row>
    <row r="46" customFormat="false" ht="30" hidden="false" customHeight="true" outlineLevel="0" collapsed="false">
      <c r="A46" s="3" t="s">
        <v>361</v>
      </c>
      <c r="B46" s="37" t="n">
        <v>19</v>
      </c>
      <c r="C46" s="7" t="s">
        <v>56</v>
      </c>
      <c r="D46" s="41" t="s">
        <v>241</v>
      </c>
      <c r="E46" s="3" t="s">
        <v>360</v>
      </c>
    </row>
    <row r="47" customFormat="false" ht="30" hidden="false" customHeight="true" outlineLevel="0" collapsed="false">
      <c r="A47" s="3" t="s">
        <v>362</v>
      </c>
      <c r="B47" s="37" t="n">
        <v>2100</v>
      </c>
      <c r="C47" s="7" t="s">
        <v>56</v>
      </c>
      <c r="D47" s="41" t="s">
        <v>241</v>
      </c>
      <c r="E47" s="3" t="s">
        <v>363</v>
      </c>
    </row>
    <row r="48" customFormat="false" ht="30" hidden="false" customHeight="true" outlineLevel="0" collapsed="false">
      <c r="A48" s="3" t="s">
        <v>364</v>
      </c>
      <c r="B48" s="35" t="n">
        <v>0.05</v>
      </c>
      <c r="C48" s="7" t="s">
        <v>51</v>
      </c>
      <c r="D48" s="41" t="s">
        <v>241</v>
      </c>
      <c r="E48" s="3" t="s">
        <v>365</v>
      </c>
    </row>
    <row r="49" customFormat="false" ht="15" hidden="false" customHeight="false" outlineLevel="0" collapsed="false">
      <c r="A49" s="3" t="s">
        <v>366</v>
      </c>
      <c r="B49" s="46" t="n">
        <f aca="false">$B$43-$B$44</f>
        <v>-2</v>
      </c>
      <c r="E49" s="3" t="s">
        <v>367</v>
      </c>
    </row>
    <row r="50" customFormat="false" ht="15" hidden="false" customHeight="false" outlineLevel="0" collapsed="false">
      <c r="A50" s="3" t="s">
        <v>368</v>
      </c>
      <c r="B50" s="45" t="n">
        <f aca="false">SQRT($B$45^2/$B$41+$B$46^2/$B$42)</f>
        <v>0.812018767475406</v>
      </c>
      <c r="E50" s="3"/>
    </row>
    <row r="51" customFormat="false" ht="15" hidden="false" customHeight="false" outlineLevel="0" collapsed="false">
      <c r="A51" s="2" t="s">
        <v>369</v>
      </c>
      <c r="B51" s="47" t="n">
        <f aca="false">-B49</f>
        <v>2</v>
      </c>
      <c r="E51" s="3" t="s">
        <v>370</v>
      </c>
    </row>
    <row r="52" customFormat="false" ht="15" hidden="false" customHeight="false" outlineLevel="0" collapsed="false">
      <c r="A52" s="2" t="s">
        <v>371</v>
      </c>
      <c r="B52" s="47" t="n">
        <f aca="false">B51-1.96*B50</f>
        <v>0.408443215748205</v>
      </c>
      <c r="E52" s="3" t="s">
        <v>372</v>
      </c>
    </row>
    <row r="53" customFormat="false" ht="15" hidden="false" customHeight="false" outlineLevel="0" collapsed="false">
      <c r="A53" s="3" t="s">
        <v>373</v>
      </c>
      <c r="B53" s="46" t="n">
        <f aca="false">B51+1.96*B50</f>
        <v>3.5915567842518</v>
      </c>
      <c r="E53" s="3"/>
    </row>
    <row r="54" customFormat="false" ht="15" hidden="false" customHeight="false" outlineLevel="0" collapsed="false">
      <c r="A54" s="3" t="s">
        <v>374</v>
      </c>
      <c r="B54" s="7" t="str">
        <f aca="false">IF(B52&gt;0,"yes","no")</f>
        <v>yes</v>
      </c>
      <c r="E54" s="3" t="s">
        <v>375</v>
      </c>
    </row>
    <row r="55" customFormat="false" ht="15" hidden="false" customHeight="false" outlineLevel="0" collapsed="false">
      <c r="A55" s="3" t="s">
        <v>376</v>
      </c>
      <c r="B55" s="7" t="str">
        <f aca="false">IF(B52&gt;=$B$25,"yes","no")</f>
        <v>no</v>
      </c>
      <c r="E55" s="3" t="s">
        <v>377</v>
      </c>
    </row>
    <row r="56" customFormat="false" ht="23.85" hidden="false" customHeight="false" outlineLevel="0" collapsed="false">
      <c r="A56" s="3" t="s">
        <v>378</v>
      </c>
      <c r="B56" s="27" t="n">
        <f aca="false">$B$47*$B$48*($B$30-$B$31)</f>
        <v>1.47</v>
      </c>
      <c r="E56" s="3" t="s">
        <v>379</v>
      </c>
    </row>
    <row r="57" customFormat="false" ht="23.85" hidden="false" customHeight="false" outlineLevel="0" collapsed="false">
      <c r="A57" s="3" t="s">
        <v>380</v>
      </c>
      <c r="B57" s="46" t="n">
        <f aca="false">($B$47*$B$48)*($B$31+$B$32-$B$30)</f>
        <v>-0.945</v>
      </c>
      <c r="E57" s="3" t="s">
        <v>381</v>
      </c>
    </row>
    <row r="59" customFormat="false" ht="15" hidden="false" customHeight="false" outlineLevel="0" collapsed="false">
      <c r="A59" s="9" t="s">
        <v>382</v>
      </c>
    </row>
  </sheetData>
  <mergeCells count="14"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44"/>
    <col collapsed="false" customWidth="true" hidden="false" outlineLevel="0" max="4" min="4" style="0" width="70"/>
    <col collapsed="false" customWidth="true" hidden="false" outlineLevel="0" max="5" min="5" style="0" width="22"/>
    <col collapsed="false" customWidth="true" hidden="false" outlineLevel="0" max="6" min="6" style="0" width="56"/>
  </cols>
  <sheetData>
    <row r="1" customFormat="false" ht="17.35" hidden="false" customHeight="false" outlineLevel="0" collapsed="false">
      <c r="A1" s="1" t="s">
        <v>383</v>
      </c>
    </row>
    <row r="2" customFormat="false" ht="15" hidden="false" customHeight="false" outlineLevel="0" collapsed="false">
      <c r="A2" s="9" t="s">
        <v>384</v>
      </c>
    </row>
    <row r="4" customFormat="false" ht="15" hidden="false" customHeight="false" outlineLevel="0" collapsed="false">
      <c r="A4" s="10" t="s">
        <v>31</v>
      </c>
      <c r="B4" s="10" t="s">
        <v>385</v>
      </c>
      <c r="C4" s="10" t="s">
        <v>386</v>
      </c>
      <c r="D4" s="10" t="s">
        <v>387</v>
      </c>
      <c r="E4" s="10" t="s">
        <v>388</v>
      </c>
      <c r="F4" s="10" t="s">
        <v>389</v>
      </c>
    </row>
    <row r="5" customFormat="false" ht="48" hidden="false" customHeight="true" outlineLevel="0" collapsed="false">
      <c r="A5" s="5" t="s">
        <v>390</v>
      </c>
      <c r="B5" s="3" t="s">
        <v>391</v>
      </c>
      <c r="C5" s="3" t="s">
        <v>392</v>
      </c>
      <c r="D5" s="3" t="s">
        <v>393</v>
      </c>
      <c r="E5" s="3" t="s">
        <v>394</v>
      </c>
      <c r="F5" s="3" t="s">
        <v>395</v>
      </c>
    </row>
    <row r="6" customFormat="false" ht="48" hidden="false" customHeight="true" outlineLevel="0" collapsed="false">
      <c r="A6" s="5" t="s">
        <v>396</v>
      </c>
      <c r="B6" s="3" t="s">
        <v>397</v>
      </c>
      <c r="C6" s="3" t="s">
        <v>398</v>
      </c>
      <c r="D6" s="3" t="s">
        <v>399</v>
      </c>
      <c r="E6" s="3" t="s">
        <v>400</v>
      </c>
      <c r="F6" s="3" t="s">
        <v>401</v>
      </c>
    </row>
    <row r="7" customFormat="false" ht="48" hidden="false" customHeight="true" outlineLevel="0" collapsed="false">
      <c r="A7" s="5" t="s">
        <v>402</v>
      </c>
      <c r="B7" s="3" t="s">
        <v>403</v>
      </c>
      <c r="C7" s="3" t="s">
        <v>404</v>
      </c>
      <c r="D7" s="3" t="s">
        <v>405</v>
      </c>
      <c r="E7" s="3" t="s">
        <v>406</v>
      </c>
      <c r="F7" s="3" t="s">
        <v>401</v>
      </c>
    </row>
    <row r="8" customFormat="false" ht="48" hidden="false" customHeight="true" outlineLevel="0" collapsed="false">
      <c r="A8" s="5" t="s">
        <v>407</v>
      </c>
      <c r="B8" s="3" t="s">
        <v>408</v>
      </c>
      <c r="C8" s="3" t="s">
        <v>409</v>
      </c>
      <c r="D8" s="3" t="s">
        <v>410</v>
      </c>
      <c r="E8" s="3" t="s">
        <v>406</v>
      </c>
      <c r="F8" s="3" t="s">
        <v>401</v>
      </c>
    </row>
    <row r="9" customFormat="false" ht="48" hidden="false" customHeight="true" outlineLevel="0" collapsed="false">
      <c r="A9" s="5" t="s">
        <v>411</v>
      </c>
      <c r="B9" s="3" t="s">
        <v>412</v>
      </c>
      <c r="C9" s="3" t="s">
        <v>413</v>
      </c>
      <c r="D9" s="3" t="s">
        <v>414</v>
      </c>
      <c r="E9" s="3" t="s">
        <v>415</v>
      </c>
      <c r="F9" s="3" t="s">
        <v>401</v>
      </c>
    </row>
    <row r="10" customFormat="false" ht="48" hidden="false" customHeight="true" outlineLevel="0" collapsed="false">
      <c r="A10" s="5" t="s">
        <v>416</v>
      </c>
      <c r="B10" s="3" t="s">
        <v>417</v>
      </c>
      <c r="C10" s="3" t="s">
        <v>418</v>
      </c>
      <c r="D10" s="3" t="s">
        <v>419</v>
      </c>
      <c r="E10" s="3" t="s">
        <v>48</v>
      </c>
      <c r="F10" s="3" t="s">
        <v>401</v>
      </c>
    </row>
    <row r="11" customFormat="false" ht="48" hidden="false" customHeight="true" outlineLevel="0" collapsed="false">
      <c r="A11" s="5" t="s">
        <v>420</v>
      </c>
      <c r="B11" s="3" t="s">
        <v>421</v>
      </c>
      <c r="C11" s="3" t="s">
        <v>422</v>
      </c>
      <c r="D11" s="3" t="s">
        <v>423</v>
      </c>
      <c r="E11" s="3" t="s">
        <v>424</v>
      </c>
      <c r="F11" s="3" t="s">
        <v>425</v>
      </c>
    </row>
    <row r="12" customFormat="false" ht="48" hidden="false" customHeight="true" outlineLevel="0" collapsed="false">
      <c r="A12" s="5" t="s">
        <v>426</v>
      </c>
      <c r="B12" s="3" t="s">
        <v>427</v>
      </c>
      <c r="C12" s="3" t="s">
        <v>428</v>
      </c>
      <c r="D12" s="3" t="s">
        <v>429</v>
      </c>
      <c r="E12" s="3" t="s">
        <v>65</v>
      </c>
      <c r="F12" s="3" t="s">
        <v>401</v>
      </c>
    </row>
    <row r="13" customFormat="false" ht="48" hidden="false" customHeight="true" outlineLevel="0" collapsed="false">
      <c r="A13" s="5" t="s">
        <v>430</v>
      </c>
      <c r="B13" s="3" t="s">
        <v>431</v>
      </c>
      <c r="C13" s="3" t="s">
        <v>432</v>
      </c>
      <c r="D13" s="3" t="s">
        <v>433</v>
      </c>
      <c r="E13" s="3" t="s">
        <v>434</v>
      </c>
      <c r="F13" s="3" t="s">
        <v>425</v>
      </c>
    </row>
    <row r="14" customFormat="false" ht="48" hidden="false" customHeight="true" outlineLevel="0" collapsed="false">
      <c r="A14" s="5" t="s">
        <v>435</v>
      </c>
      <c r="B14" s="3" t="s">
        <v>436</v>
      </c>
      <c r="C14" s="3" t="s">
        <v>437</v>
      </c>
      <c r="D14" s="3" t="s">
        <v>438</v>
      </c>
      <c r="E14" s="3" t="s">
        <v>439</v>
      </c>
      <c r="F14" s="3" t="s">
        <v>401</v>
      </c>
    </row>
    <row r="15" customFormat="false" ht="48" hidden="false" customHeight="true" outlineLevel="0" collapsed="false">
      <c r="A15" s="5" t="s">
        <v>440</v>
      </c>
      <c r="B15" s="3" t="s">
        <v>441</v>
      </c>
      <c r="C15" s="3" t="s">
        <v>442</v>
      </c>
      <c r="D15" s="3" t="s">
        <v>443</v>
      </c>
      <c r="E15" s="3" t="s">
        <v>82</v>
      </c>
      <c r="F15" s="3" t="s">
        <v>401</v>
      </c>
    </row>
    <row r="16" customFormat="false" ht="48" hidden="false" customHeight="true" outlineLevel="0" collapsed="false">
      <c r="A16" s="5" t="s">
        <v>444</v>
      </c>
      <c r="B16" s="3" t="s">
        <v>445</v>
      </c>
      <c r="C16" s="3" t="s">
        <v>446</v>
      </c>
      <c r="D16" s="3" t="s">
        <v>447</v>
      </c>
      <c r="E16" s="3" t="s">
        <v>448</v>
      </c>
      <c r="F16" s="3" t="s">
        <v>401</v>
      </c>
    </row>
    <row r="17" customFormat="false" ht="48" hidden="false" customHeight="true" outlineLevel="0" collapsed="false">
      <c r="A17" s="5" t="s">
        <v>449</v>
      </c>
      <c r="B17" s="3" t="s">
        <v>450</v>
      </c>
      <c r="C17" s="3" t="s">
        <v>451</v>
      </c>
      <c r="D17" s="3" t="s">
        <v>452</v>
      </c>
      <c r="E17" s="3" t="s">
        <v>453</v>
      </c>
      <c r="F17" s="3" t="s">
        <v>401</v>
      </c>
    </row>
    <row r="18" customFormat="false" ht="48" hidden="false" customHeight="true" outlineLevel="0" collapsed="false">
      <c r="A18" s="5" t="s">
        <v>454</v>
      </c>
      <c r="B18" s="3" t="s">
        <v>455</v>
      </c>
      <c r="C18" s="3" t="s">
        <v>456</v>
      </c>
      <c r="D18" s="3" t="s">
        <v>457</v>
      </c>
      <c r="E18" s="3"/>
      <c r="F18" s="3" t="s">
        <v>401</v>
      </c>
    </row>
    <row r="19" customFormat="false" ht="48" hidden="false" customHeight="true" outlineLevel="0" collapsed="false">
      <c r="A19" s="5" t="s">
        <v>458</v>
      </c>
      <c r="B19" s="3" t="s">
        <v>459</v>
      </c>
      <c r="C19" s="3" t="s">
        <v>460</v>
      </c>
      <c r="D19" s="3" t="s">
        <v>461</v>
      </c>
      <c r="E19" s="3" t="s">
        <v>462</v>
      </c>
      <c r="F19" s="3" t="s">
        <v>401</v>
      </c>
    </row>
    <row r="20" customFormat="false" ht="48" hidden="false" customHeight="true" outlineLevel="0" collapsed="false">
      <c r="A20" s="5" t="s">
        <v>463</v>
      </c>
      <c r="B20" s="3" t="s">
        <v>464</v>
      </c>
      <c r="C20" s="3" t="s">
        <v>465</v>
      </c>
      <c r="D20" s="3" t="s">
        <v>466</v>
      </c>
      <c r="E20" s="3" t="s">
        <v>467</v>
      </c>
      <c r="F20" s="3" t="s">
        <v>401</v>
      </c>
    </row>
    <row r="21" customFormat="false" ht="48" hidden="false" customHeight="true" outlineLevel="0" collapsed="false">
      <c r="A21" s="5" t="s">
        <v>468</v>
      </c>
      <c r="B21" s="3" t="s">
        <v>469</v>
      </c>
      <c r="C21" s="3" t="s">
        <v>470</v>
      </c>
      <c r="D21" s="3" t="s">
        <v>471</v>
      </c>
      <c r="E21" s="3" t="s">
        <v>472</v>
      </c>
      <c r="F21" s="3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2026-10-07T05:34:31Z</dcterms:created>
  <dc:creator>openpyxl</dc:creator>
  <dc:description/>
  <dc:language>en-US</dc:language>
  <cp:lastModifiedBy/>
  <dcterms:modified xsi:type="dcterms:W3CDTF">2026-10-07T05:34:32Z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